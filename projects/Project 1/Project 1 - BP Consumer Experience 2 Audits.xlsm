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drawings/drawing2.xml" ContentType="application/vnd.openxmlformats-officedocument.drawing+xml"/>
  <Override PartName="/xl/ctrlProps/ctrlProp1.xml" ContentType="application/vnd.ms-excel.controlproperties+xml"/>
  <Override PartName="/xl/persons/person.xml" ContentType="application/vnd.ms-excel.person+xml"/>
  <Override PartName="/xl/featurePropertyBag/featurePropertyBag.xml" ContentType="application/vnd.ms-excel.featurepropertyba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8025" codeName="{372AB895-14C1-FC20-EB20-F1B4BCFD95AE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d.docs.live.net/364017ac80732b6f/Documentos/Code/R Files/Input Files/Rodney/BP Cures/2024/BP Portfolio Project/"/>
    </mc:Choice>
  </mc:AlternateContent>
  <xr:revisionPtr revIDLastSave="46" documentId="13_ncr:1_{0BC40E08-7B2A-4292-B36E-FA75215994F0}" xr6:coauthVersionLast="47" xr6:coauthVersionMax="47" xr10:uidLastSave="{33337896-BFB9-4AFF-A747-0FB4381749F9}"/>
  <bookViews>
    <workbookView xWindow="-108" yWindow="-108" windowWidth="23256" windowHeight="12456" xr2:uid="{00000000-000D-0000-FFFF-FFFF00000000}"/>
  </bookViews>
  <sheets>
    <sheet name="Dashboard" sheetId="4" r:id="rId1"/>
    <sheet name="Sites" sheetId="1" r:id="rId2"/>
    <sheet name="Questions" sheetId="2" r:id="rId3"/>
    <sheet name="Question Values" sheetId="3" r:id="rId4"/>
    <sheet name="Calculations" sheetId="5" state="hidden" r:id="rId5"/>
    <sheet name="Calculations 2" sheetId="7" state="hidden" r:id="rId6"/>
  </sheets>
  <definedNames>
    <definedName name="_xlnm._FilterDatabase" localSheetId="4" hidden="1">Calculations!$A$38:$G$51</definedName>
    <definedName name="_xleta.FILTER" hidden="1" xlm="1">#NAME?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I4" i="1" l="1"/>
  <c r="J4" i="1"/>
  <c r="K4" i="1"/>
  <c r="I5" i="1"/>
  <c r="J5" i="1"/>
  <c r="K5" i="1"/>
  <c r="I6" i="1"/>
  <c r="C6" i="1" s="1"/>
  <c r="J6" i="1"/>
  <c r="K6" i="1"/>
  <c r="I8" i="1"/>
  <c r="J8" i="1"/>
  <c r="K8" i="1"/>
  <c r="I12" i="1"/>
  <c r="C12" i="1" s="1"/>
  <c r="J12" i="1"/>
  <c r="K12" i="1"/>
  <c r="I18" i="1"/>
  <c r="C18" i="1" s="1"/>
  <c r="J18" i="1"/>
  <c r="K18" i="1"/>
  <c r="I20" i="1"/>
  <c r="J20" i="1"/>
  <c r="K20" i="1"/>
  <c r="I22" i="1"/>
  <c r="C22" i="1" s="1"/>
  <c r="J22" i="1"/>
  <c r="K22" i="1"/>
  <c r="I24" i="1"/>
  <c r="C24" i="1" s="1"/>
  <c r="J24" i="1"/>
  <c r="K24" i="1"/>
  <c r="J3" i="1"/>
  <c r="K3" i="1"/>
  <c r="I3" i="1"/>
  <c r="C3" i="1" s="1"/>
  <c r="A3" i="5"/>
  <c r="A4" i="5" s="1"/>
  <c r="A5" i="5" s="1"/>
  <c r="A6" i="5" s="1"/>
  <c r="A7" i="5" s="1"/>
  <c r="A8" i="5" s="1"/>
  <c r="A9" i="5" s="1"/>
  <c r="A10" i="5" s="1"/>
  <c r="A11" i="5" s="1"/>
  <c r="A12" i="5" s="1"/>
  <c r="A13" i="5" s="1"/>
  <c r="A14" i="5" s="1"/>
  <c r="A15" i="5" s="1"/>
  <c r="A16" i="5" s="1"/>
  <c r="A17" i="5" s="1"/>
  <c r="A18" i="5" s="1"/>
  <c r="A19" i="5" s="1"/>
  <c r="A20" i="5" s="1"/>
  <c r="A21" i="5" s="1"/>
  <c r="A22" i="5" s="1"/>
  <c r="A23" i="5" s="1"/>
  <c r="A24" i="5" s="1"/>
  <c r="A25" i="5" s="1"/>
  <c r="A26" i="5" s="1"/>
  <c r="A27" i="5" s="1"/>
  <c r="A28" i="5" s="1"/>
  <c r="A29" i="5" s="1"/>
  <c r="A30" i="5" s="1"/>
  <c r="A31" i="5" s="1"/>
  <c r="A32" i="5" s="1"/>
  <c r="A33" i="5" s="1"/>
  <c r="A34" i="5" s="1"/>
  <c r="A35" i="5" s="1"/>
  <c r="A36" i="5" s="1"/>
  <c r="B3" i="1"/>
  <c r="E3" i="1"/>
  <c r="B4" i="1"/>
  <c r="E4" i="1"/>
  <c r="B5" i="1"/>
  <c r="E5" i="1"/>
  <c r="B6" i="1"/>
  <c r="E6" i="1"/>
  <c r="B7" i="1"/>
  <c r="B8" i="1"/>
  <c r="E8" i="1"/>
  <c r="B9" i="1"/>
  <c r="B10" i="1"/>
  <c r="B11" i="1"/>
  <c r="B12" i="1"/>
  <c r="E12" i="1"/>
  <c r="B13" i="1"/>
  <c r="B14" i="1"/>
  <c r="B15" i="1"/>
  <c r="B16" i="1"/>
  <c r="B17" i="1"/>
  <c r="B18" i="1"/>
  <c r="E18" i="1"/>
  <c r="B19" i="1"/>
  <c r="B20" i="1"/>
  <c r="E20" i="1"/>
  <c r="B21" i="1"/>
  <c r="B22" i="1"/>
  <c r="E22" i="1"/>
  <c r="B23" i="1"/>
  <c r="B24" i="1"/>
  <c r="E24" i="1"/>
  <c r="M4" i="1"/>
  <c r="N4" i="1"/>
  <c r="O4" i="1"/>
  <c r="M5" i="1"/>
  <c r="N5" i="1"/>
  <c r="O5" i="1"/>
  <c r="M6" i="1"/>
  <c r="N6" i="1"/>
  <c r="O6" i="1"/>
  <c r="M7" i="1"/>
  <c r="N7" i="1"/>
  <c r="O7" i="1"/>
  <c r="M8" i="1"/>
  <c r="N8" i="1"/>
  <c r="O8" i="1"/>
  <c r="M9" i="1"/>
  <c r="N9" i="1"/>
  <c r="O9" i="1"/>
  <c r="M10" i="1"/>
  <c r="N10" i="1"/>
  <c r="O10" i="1"/>
  <c r="M11" i="1"/>
  <c r="N11" i="1"/>
  <c r="O11" i="1"/>
  <c r="M12" i="1"/>
  <c r="N12" i="1"/>
  <c r="O12" i="1"/>
  <c r="M13" i="1"/>
  <c r="N13" i="1"/>
  <c r="O13" i="1"/>
  <c r="M14" i="1"/>
  <c r="N14" i="1"/>
  <c r="O14" i="1"/>
  <c r="M15" i="1"/>
  <c r="N15" i="1"/>
  <c r="O15" i="1"/>
  <c r="M16" i="1"/>
  <c r="N16" i="1"/>
  <c r="O16" i="1"/>
  <c r="M17" i="1"/>
  <c r="N17" i="1"/>
  <c r="O17" i="1"/>
  <c r="M18" i="1"/>
  <c r="N18" i="1"/>
  <c r="O18" i="1"/>
  <c r="M19" i="1"/>
  <c r="N19" i="1"/>
  <c r="O19" i="1"/>
  <c r="M20" i="1"/>
  <c r="N20" i="1"/>
  <c r="O20" i="1"/>
  <c r="M21" i="1"/>
  <c r="N21" i="1"/>
  <c r="O21" i="1"/>
  <c r="M22" i="1"/>
  <c r="N22" i="1"/>
  <c r="O22" i="1"/>
  <c r="M23" i="1"/>
  <c r="N23" i="1"/>
  <c r="O23" i="1"/>
  <c r="M24" i="1"/>
  <c r="N24" i="1"/>
  <c r="O24" i="1"/>
  <c r="N3" i="1"/>
  <c r="O3" i="1"/>
  <c r="M3" i="1"/>
  <c r="L4" i="1"/>
  <c r="L5" i="1"/>
  <c r="L6" i="1"/>
  <c r="L7" i="1"/>
  <c r="L8" i="1"/>
  <c r="L9" i="1"/>
  <c r="L10" i="1"/>
  <c r="L11" i="1"/>
  <c r="L12" i="1"/>
  <c r="L13" i="1"/>
  <c r="L14" i="1"/>
  <c r="L15" i="1"/>
  <c r="L16" i="1"/>
  <c r="L17" i="1"/>
  <c r="L18" i="1"/>
  <c r="L19" i="1"/>
  <c r="L20" i="1"/>
  <c r="L21" i="1"/>
  <c r="L22" i="1"/>
  <c r="L23" i="1"/>
  <c r="L24" i="1"/>
  <c r="L3" i="1"/>
  <c r="C4" i="1"/>
  <c r="C5" i="1"/>
  <c r="C8" i="1"/>
  <c r="C20" i="1"/>
  <c r="F28" i="2"/>
  <c r="E17" i="1" s="1"/>
  <c r="F36" i="2"/>
  <c r="I17" i="1" l="1"/>
  <c r="C17" i="1" s="1"/>
  <c r="K23" i="1"/>
  <c r="J23" i="1"/>
  <c r="I23" i="1"/>
  <c r="C23" i="1" s="1"/>
  <c r="K17" i="1"/>
  <c r="J17" i="1"/>
  <c r="D17" i="1" s="1"/>
  <c r="E23" i="1"/>
  <c r="D3" i="3"/>
  <c r="E3" i="3"/>
  <c r="D4" i="3"/>
  <c r="E4" i="3"/>
  <c r="D5" i="3"/>
  <c r="E5" i="3"/>
  <c r="D6" i="3"/>
  <c r="E6" i="3"/>
  <c r="D7" i="3"/>
  <c r="E7" i="3"/>
  <c r="D8" i="3"/>
  <c r="E8" i="3"/>
  <c r="D9" i="3"/>
  <c r="E9" i="3"/>
  <c r="D10" i="3"/>
  <c r="E10" i="3"/>
  <c r="D11" i="3"/>
  <c r="E11" i="3"/>
  <c r="D12" i="3"/>
  <c r="E12" i="3"/>
  <c r="D13" i="3"/>
  <c r="E13" i="3"/>
  <c r="D14" i="3"/>
  <c r="E14" i="3"/>
  <c r="D15" i="3"/>
  <c r="E15" i="3"/>
  <c r="D16" i="3"/>
  <c r="E16" i="3"/>
  <c r="D17" i="3"/>
  <c r="E17" i="3"/>
  <c r="D18" i="3"/>
  <c r="E18" i="3"/>
  <c r="D19" i="3"/>
  <c r="E19" i="3"/>
  <c r="D20" i="3"/>
  <c r="E20" i="3"/>
  <c r="D21" i="3"/>
  <c r="E21" i="3"/>
  <c r="D22" i="3"/>
  <c r="E22" i="3"/>
  <c r="D23" i="3"/>
  <c r="E23" i="3"/>
  <c r="D24" i="3"/>
  <c r="E24" i="3"/>
  <c r="D25" i="3"/>
  <c r="E25" i="3"/>
  <c r="D26" i="3"/>
  <c r="E26" i="3"/>
  <c r="D27" i="3"/>
  <c r="E27" i="3"/>
  <c r="D28" i="3"/>
  <c r="E28" i="3"/>
  <c r="D29" i="3"/>
  <c r="E29" i="3"/>
  <c r="D30" i="3"/>
  <c r="E30" i="3"/>
  <c r="D31" i="3"/>
  <c r="E31" i="3"/>
  <c r="D32" i="3"/>
  <c r="E32" i="3"/>
  <c r="D33" i="3"/>
  <c r="E33" i="3"/>
  <c r="D34" i="3"/>
  <c r="E34" i="3"/>
  <c r="D35" i="3"/>
  <c r="E35" i="3"/>
  <c r="D36" i="3"/>
  <c r="E36" i="3"/>
  <c r="D37" i="3"/>
  <c r="E37" i="3"/>
  <c r="D38" i="3"/>
  <c r="E38" i="3"/>
  <c r="E2" i="3"/>
  <c r="D2" i="3"/>
  <c r="F33" i="2"/>
  <c r="F34" i="2"/>
  <c r="F35" i="2"/>
  <c r="F19" i="2"/>
  <c r="F17" i="1" l="1"/>
  <c r="I21" i="1"/>
  <c r="C21" i="1" s="1"/>
  <c r="J21" i="1"/>
  <c r="K21" i="1"/>
  <c r="K14" i="1"/>
  <c r="I14" i="1"/>
  <c r="C14" i="1" s="1"/>
  <c r="J14" i="1"/>
  <c r="D14" i="1" s="1"/>
  <c r="E14" i="1"/>
  <c r="E21" i="1"/>
  <c r="O25" i="1"/>
  <c r="B62" i="5" s="1"/>
  <c r="G2" i="3"/>
  <c r="G3" i="3"/>
  <c r="G6" i="3"/>
  <c r="G38" i="3"/>
  <c r="G34" i="3"/>
  <c r="G30" i="3"/>
  <c r="G26" i="3"/>
  <c r="G22" i="3"/>
  <c r="G18" i="3"/>
  <c r="G14" i="3"/>
  <c r="G10" i="3"/>
  <c r="G37" i="3"/>
  <c r="G33" i="3"/>
  <c r="G29" i="3"/>
  <c r="G25" i="3"/>
  <c r="G21" i="3"/>
  <c r="G17" i="3"/>
  <c r="G13" i="3"/>
  <c r="G9" i="3"/>
  <c r="G5" i="3"/>
  <c r="G36" i="3"/>
  <c r="G32" i="3"/>
  <c r="G28" i="3"/>
  <c r="G24" i="3"/>
  <c r="G20" i="3"/>
  <c r="G16" i="3"/>
  <c r="G12" i="3"/>
  <c r="G8" i="3"/>
  <c r="G4" i="3"/>
  <c r="G35" i="3"/>
  <c r="G31" i="3"/>
  <c r="G27" i="3"/>
  <c r="G23" i="3"/>
  <c r="G19" i="3"/>
  <c r="G15" i="3"/>
  <c r="G11" i="3"/>
  <c r="G7" i="3"/>
  <c r="C18" i="3"/>
  <c r="F18" i="3" s="1"/>
  <c r="C19" i="3"/>
  <c r="F19" i="3" s="1"/>
  <c r="C20" i="3"/>
  <c r="F20" i="3" s="1"/>
  <c r="C21" i="3"/>
  <c r="F21" i="3" s="1"/>
  <c r="C22" i="3"/>
  <c r="F22" i="3" s="1"/>
  <c r="C23" i="3"/>
  <c r="F23" i="3" s="1"/>
  <c r="C24" i="3"/>
  <c r="C25" i="3"/>
  <c r="F25" i="3" s="1"/>
  <c r="C26" i="3"/>
  <c r="F26" i="3" s="1"/>
  <c r="C27" i="3"/>
  <c r="F27" i="3" s="1"/>
  <c r="C28" i="3"/>
  <c r="F28" i="3" s="1"/>
  <c r="C29" i="3"/>
  <c r="F29" i="3" s="1"/>
  <c r="C30" i="3"/>
  <c r="F30" i="3" s="1"/>
  <c r="C31" i="3"/>
  <c r="F31" i="3" s="1"/>
  <c r="C32" i="3"/>
  <c r="F32" i="3" s="1"/>
  <c r="C33" i="3"/>
  <c r="F33" i="3" s="1"/>
  <c r="C34" i="3"/>
  <c r="F34" i="3" s="1"/>
  <c r="C35" i="3"/>
  <c r="F35" i="3" s="1"/>
  <c r="C36" i="3"/>
  <c r="F36" i="3" s="1"/>
  <c r="C37" i="3"/>
  <c r="F37" i="3" s="1"/>
  <c r="C38" i="3"/>
  <c r="F38" i="3" s="1"/>
  <c r="C3" i="3"/>
  <c r="F3" i="3" s="1"/>
  <c r="C4" i="3"/>
  <c r="F4" i="3" s="1"/>
  <c r="C5" i="3"/>
  <c r="F5" i="3" s="1"/>
  <c r="C6" i="3"/>
  <c r="F6" i="3" s="1"/>
  <c r="C7" i="3"/>
  <c r="F7" i="3" s="1"/>
  <c r="C8" i="3"/>
  <c r="F8" i="3" s="1"/>
  <c r="C9" i="3"/>
  <c r="F9" i="3" s="1"/>
  <c r="C10" i="3"/>
  <c r="F10" i="3" s="1"/>
  <c r="C11" i="3"/>
  <c r="F11" i="3" s="1"/>
  <c r="C12" i="3"/>
  <c r="F12" i="3" s="1"/>
  <c r="C13" i="3"/>
  <c r="F13" i="3" s="1"/>
  <c r="C14" i="3"/>
  <c r="F14" i="3" s="1"/>
  <c r="C15" i="3"/>
  <c r="F15" i="3" s="1"/>
  <c r="C16" i="3"/>
  <c r="F16" i="3" s="1"/>
  <c r="C17" i="3"/>
  <c r="F17" i="3" s="1"/>
  <c r="C2" i="3"/>
  <c r="F2" i="3" s="1"/>
  <c r="F20" i="2"/>
  <c r="F21" i="2"/>
  <c r="F22" i="2"/>
  <c r="F23" i="2"/>
  <c r="F24" i="2"/>
  <c r="F29" i="2"/>
  <c r="F30" i="2"/>
  <c r="F31" i="2"/>
  <c r="F32" i="2"/>
  <c r="K19" i="1" s="1"/>
  <c r="F10" i="2"/>
  <c r="F11" i="2"/>
  <c r="F12" i="2"/>
  <c r="F13" i="2"/>
  <c r="F26" i="2"/>
  <c r="F27" i="2"/>
  <c r="F7" i="2"/>
  <c r="F14" i="2"/>
  <c r="F15" i="2"/>
  <c r="F16" i="2"/>
  <c r="F17" i="2"/>
  <c r="F18" i="2"/>
  <c r="F5" i="2"/>
  <c r="F6" i="2"/>
  <c r="F8" i="2"/>
  <c r="F9" i="2"/>
  <c r="F25" i="2"/>
  <c r="D8" i="1"/>
  <c r="D12" i="1"/>
  <c r="D20" i="1"/>
  <c r="D3" i="1"/>
  <c r="D22" i="1"/>
  <c r="F18" i="1"/>
  <c r="F12" i="1"/>
  <c r="F20" i="1"/>
  <c r="F3" i="1"/>
  <c r="F22" i="1"/>
  <c r="I16" i="1" l="1"/>
  <c r="E16" i="1"/>
  <c r="E11" i="1"/>
  <c r="I11" i="1"/>
  <c r="C11" i="1" s="1"/>
  <c r="J11" i="1"/>
  <c r="D11" i="1" s="1"/>
  <c r="K11" i="1"/>
  <c r="I13" i="1"/>
  <c r="C13" i="1" s="1"/>
  <c r="J13" i="1"/>
  <c r="D13" i="1" s="1"/>
  <c r="K13" i="1"/>
  <c r="I15" i="1"/>
  <c r="C15" i="1" s="1"/>
  <c r="I10" i="1"/>
  <c r="J10" i="1"/>
  <c r="D10" i="1" s="1"/>
  <c r="K10" i="1"/>
  <c r="F10" i="1" s="1"/>
  <c r="J9" i="1"/>
  <c r="D9" i="1" s="1"/>
  <c r="K9" i="1"/>
  <c r="I9" i="1"/>
  <c r="C9" i="1" s="1"/>
  <c r="I19" i="1"/>
  <c r="C19" i="1" s="1"/>
  <c r="F19" i="1" s="1"/>
  <c r="J19" i="1"/>
  <c r="D19" i="1" s="1"/>
  <c r="I7" i="1"/>
  <c r="C7" i="1" s="1"/>
  <c r="J7" i="1"/>
  <c r="D7" i="1" s="1"/>
  <c r="K7" i="1"/>
  <c r="F7" i="1" s="1"/>
  <c r="J16" i="1"/>
  <c r="D16" i="1" s="1"/>
  <c r="K16" i="1"/>
  <c r="F16" i="1" s="1"/>
  <c r="J15" i="1"/>
  <c r="D15" i="1" s="1"/>
  <c r="K15" i="1"/>
  <c r="F15" i="1" s="1"/>
  <c r="C16" i="1"/>
  <c r="E7" i="1"/>
  <c r="E13" i="1"/>
  <c r="C10" i="1"/>
  <c r="E10" i="1"/>
  <c r="E9" i="1"/>
  <c r="E19" i="1"/>
  <c r="E15" i="1"/>
  <c r="D21" i="1"/>
  <c r="D24" i="1"/>
  <c r="D4" i="1"/>
  <c r="F21" i="1"/>
  <c r="F6" i="1"/>
  <c r="F24" i="1"/>
  <c r="F4" i="1"/>
  <c r="D23" i="1"/>
  <c r="D5" i="1"/>
  <c r="D6" i="1"/>
  <c r="C53" i="5"/>
  <c r="D18" i="1"/>
  <c r="F24" i="3"/>
  <c r="F39" i="3" s="1"/>
  <c r="G39" i="3"/>
  <c r="C39" i="3"/>
  <c r="B68" i="5" s="1"/>
  <c r="E39" i="3"/>
  <c r="D39" i="3"/>
  <c r="M25" i="1"/>
  <c r="B39" i="3"/>
  <c r="A4" i="3"/>
  <c r="A5" i="3" s="1"/>
  <c r="A6" i="3" s="1"/>
  <c r="A7" i="3" s="1"/>
  <c r="A8" i="3" s="1"/>
  <c r="A9" i="3" s="1"/>
  <c r="A10" i="3" s="1"/>
  <c r="A11" i="3" s="1"/>
  <c r="A12" i="3" s="1"/>
  <c r="A13" i="3" s="1"/>
  <c r="A14" i="3" s="1"/>
  <c r="A15" i="3" s="1"/>
  <c r="A16" i="3" s="1"/>
  <c r="A17" i="3" s="1"/>
  <c r="A18" i="3" s="1"/>
  <c r="A19" i="3" s="1"/>
  <c r="A20" i="3" s="1"/>
  <c r="A21" i="3" s="1"/>
  <c r="A22" i="3" s="1"/>
  <c r="A23" i="3" s="1"/>
  <c r="A24" i="3" s="1"/>
  <c r="A25" i="3" s="1"/>
  <c r="A26" i="3" s="1"/>
  <c r="A27" i="3" s="1"/>
  <c r="A28" i="3" s="1"/>
  <c r="A29" i="3" s="1"/>
  <c r="A30" i="3" s="1"/>
  <c r="A31" i="3" s="1"/>
  <c r="A32" i="3" s="1"/>
  <c r="A33" i="3" s="1"/>
  <c r="A34" i="3" s="1"/>
  <c r="A35" i="3" s="1"/>
  <c r="A36" i="3" s="1"/>
  <c r="A37" i="3" s="1"/>
  <c r="A38" i="3" s="1"/>
  <c r="A3" i="3"/>
  <c r="F13" i="1" l="1"/>
  <c r="A39" i="5" a="1"/>
  <c r="A39" i="5" s="1"/>
  <c r="F5" i="1"/>
  <c r="F11" i="1"/>
  <c r="F23" i="1"/>
  <c r="F14" i="1"/>
  <c r="F8" i="1"/>
  <c r="C55" i="5"/>
  <c r="C56" i="5"/>
  <c r="E26" i="1"/>
  <c r="E25" i="1"/>
  <c r="C57" i="5"/>
  <c r="D26" i="1"/>
  <c r="D25" i="1"/>
  <c r="C25" i="1"/>
  <c r="C26" i="1"/>
  <c r="B26" i="1"/>
  <c r="B25" i="1"/>
  <c r="L25" i="1"/>
  <c r="F9" i="1" l="1"/>
  <c r="A1" i="7" s="1" a="1"/>
  <c r="A1" i="7" s="1"/>
  <c r="B63" i="5"/>
  <c r="B64" i="5" s="1"/>
  <c r="F26" i="1"/>
  <c r="F27" i="1" s="1" a="1"/>
  <c r="F27" i="1" s="1"/>
  <c r="K1" i="5" s="1"/>
  <c r="B27" i="1" a="1"/>
  <c r="B27" i="1" s="1"/>
  <c r="G1" i="5" s="1"/>
  <c r="C27" i="1" a="1"/>
  <c r="C27" i="1" s="1"/>
  <c r="H1" i="5" s="1"/>
  <c r="E27" i="1" a="1"/>
  <c r="E27" i="1" s="1"/>
  <c r="J1" i="5" s="1"/>
  <c r="D27" i="1" a="1"/>
  <c r="D27" i="1" s="1"/>
  <c r="I1" i="5" s="1"/>
  <c r="N25" i="1"/>
  <c r="D2" i="5" s="1" a="1"/>
  <c r="C54" i="5" l="1"/>
  <c r="F25" i="1"/>
  <c r="B61" i="5" s="1"/>
  <c r="B69" i="5"/>
  <c r="D2" i="5"/>
  <c r="E5" i="5"/>
  <c r="E3" i="5"/>
  <c r="D8" i="5"/>
  <c r="E8" i="5" s="1"/>
  <c r="D7" i="5"/>
  <c r="E7" i="5" s="1"/>
  <c r="E4" i="5"/>
  <c r="D6" i="5" l="1"/>
  <c r="E6" i="5" s="1"/>
  <c r="E2" i="5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<sst xmlns="http://schemas.openxmlformats.org/spreadsheetml/2006/main" count="110" uniqueCount="96">
  <si>
    <t>GDSO #</t>
  </si>
  <si>
    <t>Original Score</t>
  </si>
  <si>
    <t>Final Score</t>
  </si>
  <si>
    <t>Total Points Possible</t>
  </si>
  <si>
    <t>Total # of Cures</t>
  </si>
  <si>
    <t>Average</t>
  </si>
  <si>
    <t>Total</t>
  </si>
  <si>
    <t>Question #</t>
  </si>
  <si>
    <t>Submitted?</t>
  </si>
  <si>
    <t># of Cures Submitted</t>
  </si>
  <si>
    <t># of Cures Accepted</t>
  </si>
  <si>
    <t>Score if Cures Accepted</t>
  </si>
  <si>
    <t>Points if Cures Accepted</t>
  </si>
  <si>
    <t>Description</t>
  </si>
  <si>
    <t>Min</t>
  </si>
  <si>
    <t>Highest Possible Score</t>
  </si>
  <si>
    <t>Value</t>
  </si>
  <si>
    <t>Sum</t>
  </si>
  <si>
    <t>Pump 5 is low on BP/Amoco-approved brochures</t>
  </si>
  <si>
    <t>Pump 8 is low on BP/Amoco-approved brochures</t>
  </si>
  <si>
    <t>Full Points</t>
  </si>
  <si>
    <t>One or more letters missing on price panel</t>
  </si>
  <si>
    <t>Excessive damge/rust/graffiti on dispenser skirt (pump 12)</t>
  </si>
  <si>
    <t>Pump 6 is low on BP/Amoco-approved brochures</t>
  </si>
  <si>
    <t>Pump 1 is low on BP/Amoco-approved brochures</t>
  </si>
  <si>
    <t>Expired BP/Amoco marketing materials present in store</t>
  </si>
  <si>
    <t>Dirty canopy columns</t>
  </si>
  <si>
    <t>Large areas of dirt on or near the branded canopy deck</t>
  </si>
  <si>
    <t>Dirty canopy fascia</t>
  </si>
  <si>
    <t>Visible dents/damage/dirt on mid elements, price signs, and/or high-rise signs</t>
  </si>
  <si>
    <t>Rusty canopy deck</t>
  </si>
  <si>
    <t>% Passing Initial</t>
  </si>
  <si>
    <t>% Passing Final</t>
  </si>
  <si>
    <t>Highest Possible % Passing</t>
  </si>
  <si>
    <t>% Passing if Cures Accepted</t>
  </si>
  <si>
    <t># of Cures Possible</t>
  </si>
  <si>
    <t>Count</t>
  </si>
  <si>
    <t>Count Submitted</t>
  </si>
  <si>
    <t>Count Accepted</t>
  </si>
  <si>
    <t>Final Points</t>
  </si>
  <si>
    <t>Count Left to Submit</t>
  </si>
  <si>
    <t>Count Left to Accept</t>
  </si>
  <si>
    <t>Accepted ?</t>
  </si>
  <si>
    <t>Highest Curable Score</t>
  </si>
  <si>
    <t>% Passing if all quesitions cured</t>
  </si>
  <si>
    <t>Min Site</t>
  </si>
  <si>
    <t>Format Question Sheet Rows</t>
  </si>
  <si>
    <t>Pie Chart Calculations</t>
  </si>
  <si>
    <t>Possible</t>
  </si>
  <si>
    <t>Submitted</t>
  </si>
  <si>
    <t>Accepted</t>
  </si>
  <si>
    <t>Curable</t>
  </si>
  <si>
    <t>Curable but not possible</t>
  </si>
  <si>
    <t>Sites For Minimum</t>
  </si>
  <si>
    <r>
      <rPr>
        <b/>
        <sz val="11"/>
        <color theme="4"/>
        <rFont val="Calibri"/>
        <family val="2"/>
        <scheme val="minor"/>
      </rPr>
      <t>Original Score</t>
    </r>
    <r>
      <rPr>
        <sz val="11"/>
        <color theme="1"/>
        <rFont val="Calibri"/>
        <family val="2"/>
        <scheme val="minor"/>
      </rPr>
      <t>: The score the site received when the audit was first completed</t>
    </r>
  </si>
  <si>
    <r>
      <rPr>
        <b/>
        <sz val="11"/>
        <color theme="4"/>
        <rFont val="Calibri"/>
        <family val="2"/>
        <scheme val="minor"/>
      </rPr>
      <t>Highest Possible Score</t>
    </r>
    <r>
      <rPr>
        <sz val="11"/>
        <color theme="1"/>
        <rFont val="Calibri"/>
        <family val="2"/>
        <scheme val="minor"/>
      </rPr>
      <t>: The highest score a site could receive if the all cures that the TSM can cure are cured and accepted</t>
    </r>
  </si>
  <si>
    <r>
      <rPr>
        <b/>
        <sz val="11"/>
        <color theme="4"/>
        <rFont val="Calibri"/>
        <family val="2"/>
        <scheme val="minor"/>
      </rPr>
      <t>Highest Curable Score/If All Cured</t>
    </r>
    <r>
      <rPr>
        <sz val="11"/>
        <color theme="1"/>
        <rFont val="Calibri"/>
        <family val="2"/>
        <scheme val="minor"/>
      </rPr>
      <t>: The score a site would receive if all curable questions are cured and accepted</t>
    </r>
  </si>
  <si>
    <r>
      <rPr>
        <b/>
        <sz val="11"/>
        <color theme="4"/>
        <rFont val="Calibri"/>
        <family val="2"/>
        <scheme val="minor"/>
      </rPr>
      <t>Score if Cures Accepted/If All Cures Accepted</t>
    </r>
    <r>
      <rPr>
        <sz val="11"/>
        <color theme="1"/>
        <rFont val="Calibri"/>
        <family val="2"/>
        <scheme val="minor"/>
      </rPr>
      <t>: The score a site would receive if all submitted cures were accepted</t>
    </r>
  </si>
  <si>
    <r>
      <rPr>
        <b/>
        <sz val="11"/>
        <color theme="4"/>
        <rFont val="Calibri"/>
        <family val="2"/>
        <scheme val="minor"/>
      </rPr>
      <t>Final Score</t>
    </r>
    <r>
      <rPr>
        <sz val="11"/>
        <color theme="1"/>
        <rFont val="Calibri"/>
        <family val="2"/>
        <scheme val="minor"/>
      </rPr>
      <t>: The score a site has at the end of the audit</t>
    </r>
  </si>
  <si>
    <t>Average final score</t>
  </si>
  <si>
    <t>Total Questions Cured</t>
  </si>
  <si>
    <t>Sites Pushed to Passing</t>
  </si>
  <si>
    <t>Top Ribbon of Information</t>
  </si>
  <si>
    <t>Center Ribbon of Information</t>
  </si>
  <si>
    <t>Percentage of sites</t>
  </si>
  <si>
    <t>Combo Box</t>
  </si>
  <si>
    <t>Percentage that were 23</t>
  </si>
  <si>
    <t>Number of Curable Questions</t>
  </si>
  <si>
    <t>Number of Possible Questions</t>
  </si>
  <si>
    <t>Number of Accepted Questions</t>
  </si>
  <si>
    <t>Number of Submitted Questions</t>
  </si>
  <si>
    <t>Pump 4 is low on BP/Amoco-approved brochures</t>
  </si>
  <si>
    <t>Pumps 6 and 8 not fully operational</t>
  </si>
  <si>
    <t>Dispener-grade button decals peeling or damaged (affected: 1, 2, 6; cure photo: 1)</t>
  </si>
  <si>
    <t>Dispenser fascia has excessive damage/rust/graffiti (pump 5)</t>
  </si>
  <si>
    <t>Pumps 5 and 6 not fully operational</t>
  </si>
  <si>
    <t>Dispener-grade button decals peeling or damaged (affected: 2, 4; cure photo: 2)</t>
  </si>
  <si>
    <t>Expired applications/brochures present in canister (pump 2)</t>
  </si>
  <si>
    <t>Missing crind or inverted BP POP (pump 14)</t>
  </si>
  <si>
    <t>No payment acceptance decal at the dispenser or missing approved canister (pump 11)</t>
  </si>
  <si>
    <t>Dispenser-grade button decals peeling or damaged (affected: 3, 5, 6; cure photo: 3)</t>
  </si>
  <si>
    <t>BP POP present in unapproved location</t>
  </si>
  <si>
    <t>Pump 2 is low on BP/Amoco-approved brochures</t>
  </si>
  <si>
    <t>Execessive damage/rust/graffiti on dispenser fascia (pump 7)</t>
  </si>
  <si>
    <t>Dispenser-grade button decals peeling or damaged (pump 7)</t>
  </si>
  <si>
    <t>Non-BP materials present in cansiter; expired payment acceptance decal (pump 10)</t>
  </si>
  <si>
    <t>Pumps 3-8 not fully operational</t>
  </si>
  <si>
    <t>Excessive damage/crumbling concrete on pump 20</t>
  </si>
  <si>
    <t>Pumps 1 and 4 not fully operational</t>
  </si>
  <si>
    <t>Excessive damage on bollard by pump 5</t>
  </si>
  <si>
    <t>Submitted not accepted</t>
  </si>
  <si>
    <t>Possible not submitted</t>
  </si>
  <si>
    <t>BP/Amoco Consumer Experience Audit 2 (June-September 2024) - Jack's Sites</t>
  </si>
  <si>
    <t>Original Points</t>
  </si>
  <si>
    <t>Possible?</t>
  </si>
  <si>
    <t xml:space="preserve">BP Consumer Experience 2 Audits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</si>
</sst>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%"/>
  </numFmts>
  <fonts count="11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8"/>
      <color theme="3"/>
      <name val="Calibri Light"/>
      <family val="2"/>
      <scheme val="major"/>
    </font>
    <font>
      <sz val="30"/>
      <color theme="0"/>
      <name val="Calibri"/>
      <family val="2"/>
      <scheme val="minor"/>
    </font>
    <font>
      <b/>
      <sz val="11"/>
      <color theme="4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6"/>
      <color theme="0"/>
      <name val="Calibri"/>
      <family val="2"/>
      <scheme val="minor"/>
    </font>
    <font>
      <b/>
      <sz val="20"/>
      <color theme="0"/>
      <name val="Calibri"/>
      <family val="2"/>
      <scheme val="minor"/>
    </font>
    <font>
      <sz val="11"/>
      <color rgb="FF000000"/>
      <name val="Calibri"/>
      <family val="2"/>
    </font>
    <font>
      <sz val="16"/>
      <name val="Calibri Light"/>
      <family val="2"/>
      <scheme val="major"/>
    </font>
  </fonts>
  <fills count="10">
    <fill>
      <patternFill patternType="none"/>
    </fill>
    <fill>
      <patternFill patternType="gray125"/>
    </fill>
    <fill>
      <patternFill patternType="solid">
        <fgColor theme="8" tint="0.79998168889431442"/>
        <bgColor indexed="65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8"/>
      </patternFill>
    </fill>
    <fill>
      <patternFill patternType="solid">
        <fgColor theme="9"/>
      </patternFill>
    </fill>
    <fill>
      <patternFill patternType="solid">
        <fgColor theme="4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8" tint="-0.499984740745262"/>
        <bgColor indexed="64"/>
      </patternFill>
    </fill>
  </fills>
  <borders count="15">
    <border>
      <left/>
      <right/>
      <top/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</borders>
  <cellStyleXfs count="7">
    <xf numFmtId="0" fontId="0" fillId="0" borderId="0"/>
    <xf numFmtId="9" fontId="1" fillId="0" borderId="0" applyFont="0" applyFill="0" applyBorder="0" applyAlignment="0" applyProtection="0"/>
    <xf numFmtId="0" fontId="1" fillId="2" borderId="0" applyNumberFormat="0" applyBorder="0" applyAlignment="0" applyProtection="0"/>
    <xf numFmtId="0" fontId="3" fillId="0" borderId="0" applyNumberFormat="0" applyFill="0" applyBorder="0" applyAlignment="0" applyProtection="0"/>
    <xf numFmtId="0" fontId="1" fillId="3" borderId="0" applyNumberFormat="0" applyBorder="0" applyAlignment="0" applyProtection="0"/>
    <xf numFmtId="0" fontId="2" fillId="4" borderId="0" applyNumberFormat="0" applyBorder="0" applyAlignment="0" applyProtection="0"/>
    <xf numFmtId="0" fontId="2" fillId="5" borderId="0" applyNumberFormat="0" applyBorder="0" applyAlignment="0" applyProtection="0"/>
  </cellStyleXfs>
  <cellXfs count="97">
    <xf numFmtId="0" fontId="0" fillId="0" borderId="0" xfId="0"/>
    <xf numFmtId="0" fontId="0" fillId="0" borderId="2" xfId="0" applyBorder="1"/>
    <xf numFmtId="164" fontId="0" fillId="0" borderId="0" xfId="1" applyNumberFormat="1" applyFont="1" applyBorder="1"/>
    <xf numFmtId="164" fontId="1" fillId="2" borderId="5" xfId="2" applyNumberFormat="1" applyBorder="1"/>
    <xf numFmtId="0" fontId="0" fillId="0" borderId="3" xfId="0" applyBorder="1" applyAlignment="1">
      <alignment wrapText="1"/>
    </xf>
    <xf numFmtId="0" fontId="0" fillId="0" borderId="4" xfId="0" applyBorder="1"/>
    <xf numFmtId="0" fontId="0" fillId="0" borderId="5" xfId="0" applyBorder="1"/>
    <xf numFmtId="164" fontId="1" fillId="2" borderId="5" xfId="1" applyNumberFormat="1" applyFill="1" applyBorder="1"/>
    <xf numFmtId="164" fontId="0" fillId="2" borderId="5" xfId="1" quotePrefix="1" applyNumberFormat="1" applyFont="1" applyFill="1" applyBorder="1" applyAlignment="1">
      <alignment horizontal="center"/>
    </xf>
    <xf numFmtId="164" fontId="1" fillId="2" borderId="6" xfId="1" applyNumberFormat="1" applyFill="1" applyBorder="1"/>
    <xf numFmtId="16" fontId="0" fillId="0" borderId="0" xfId="0" applyNumberFormat="1"/>
    <xf numFmtId="164" fontId="1" fillId="2" borderId="8" xfId="2" applyNumberFormat="1" applyBorder="1"/>
    <xf numFmtId="0" fontId="1" fillId="2" borderId="8" xfId="2" applyBorder="1" applyAlignment="1">
      <alignment wrapText="1"/>
    </xf>
    <xf numFmtId="0" fontId="1" fillId="2" borderId="9" xfId="2" applyBorder="1" applyAlignment="1">
      <alignment wrapText="1"/>
    </xf>
    <xf numFmtId="0" fontId="0" fillId="0" borderId="5" xfId="0" applyBorder="1">
      <extLst>
        <ext xmlns:xfpb="http://schemas.microsoft.com/office/spreadsheetml/2022/featurepropertybag" uri="{C7286773-470A-42A8-94C5-96B5CB345126}">
          <xfpb:xfComplement i="0"/>
        </ext>
      </extLst>
    </xf>
    <xf numFmtId="0" fontId="0" fillId="0" borderId="0" xfId="0" applyAlignment="1">
      <alignment wrapText="1"/>
    </xf>
    <xf numFmtId="0" fontId="0" fillId="0" borderId="3" xfId="0" applyBorder="1"/>
    <xf numFmtId="0" fontId="0" fillId="0" borderId="1" xfId="0" applyBorder="1"/>
    <xf numFmtId="164" fontId="1" fillId="2" borderId="8" xfId="1" applyNumberFormat="1" applyFill="1" applyBorder="1"/>
    <xf numFmtId="164" fontId="0" fillId="2" borderId="8" xfId="1" quotePrefix="1" applyNumberFormat="1" applyFont="1" applyFill="1" applyBorder="1" applyAlignment="1">
      <alignment horizontal="center"/>
    </xf>
    <xf numFmtId="164" fontId="1" fillId="2" borderId="9" xfId="1" applyNumberFormat="1" applyFill="1" applyBorder="1"/>
    <xf numFmtId="1" fontId="1" fillId="2" borderId="8" xfId="2" applyNumberFormat="1" applyBorder="1"/>
    <xf numFmtId="0" fontId="2" fillId="5" borderId="7" xfId="6" applyBorder="1" applyAlignment="1">
      <alignment horizontal="center" wrapText="1"/>
    </xf>
    <xf numFmtId="0" fontId="2" fillId="5" borderId="8" xfId="6" applyBorder="1" applyAlignment="1">
      <alignment horizontal="center" wrapText="1"/>
    </xf>
    <xf numFmtId="0" fontId="2" fillId="5" borderId="9" xfId="6" applyBorder="1" applyAlignment="1">
      <alignment horizontal="center" wrapText="1"/>
    </xf>
    <xf numFmtId="0" fontId="1" fillId="2" borderId="8" xfId="2" applyBorder="1"/>
    <xf numFmtId="0" fontId="1" fillId="2" borderId="9" xfId="2" applyBorder="1"/>
    <xf numFmtId="0" fontId="0" fillId="0" borderId="6" xfId="0" applyBorder="1"/>
    <xf numFmtId="0" fontId="0" fillId="0" borderId="8" xfId="0" applyBorder="1" applyAlignment="1">
      <alignment wrapText="1"/>
    </xf>
    <xf numFmtId="0" fontId="0" fillId="0" borderId="9" xfId="0" applyBorder="1" applyAlignment="1">
      <alignment wrapText="1"/>
    </xf>
    <xf numFmtId="0" fontId="0" fillId="0" borderId="13" xfId="0" applyBorder="1"/>
    <xf numFmtId="0" fontId="0" fillId="0" borderId="14" xfId="0" applyBorder="1"/>
    <xf numFmtId="0" fontId="2" fillId="5" borderId="10" xfId="6" applyNumberFormat="1" applyBorder="1" applyAlignment="1">
      <alignment horizontal="center" wrapText="1"/>
    </xf>
    <xf numFmtId="0" fontId="0" fillId="7" borderId="0" xfId="0" applyFill="1"/>
    <xf numFmtId="164" fontId="0" fillId="0" borderId="14" xfId="1" applyNumberFormat="1" applyFont="1" applyBorder="1"/>
    <xf numFmtId="164" fontId="0" fillId="0" borderId="3" xfId="1" applyNumberFormat="1" applyFont="1" applyBorder="1"/>
    <xf numFmtId="164" fontId="0" fillId="0" borderId="6" xfId="1" applyNumberFormat="1" applyFont="1" applyBorder="1"/>
    <xf numFmtId="0" fontId="0" fillId="7" borderId="0" xfId="0" applyFill="1" applyAlignment="1">
      <alignment horizontal="left"/>
    </xf>
    <xf numFmtId="0" fontId="0" fillId="0" borderId="0" xfId="0" applyAlignment="1">
      <alignment horizontal="center" wrapText="1"/>
    </xf>
    <xf numFmtId="0" fontId="2" fillId="5" borderId="9" xfId="6" applyBorder="1" applyAlignment="1">
      <alignment wrapText="1"/>
    </xf>
    <xf numFmtId="0" fontId="6" fillId="7" borderId="0" xfId="0" applyFont="1" applyFill="1"/>
    <xf numFmtId="164" fontId="8" fillId="0" borderId="9" xfId="1" applyNumberFormat="1" applyFont="1" applyBorder="1"/>
    <xf numFmtId="0" fontId="8" fillId="0" borderId="9" xfId="0" applyFont="1" applyBorder="1"/>
    <xf numFmtId="0" fontId="8" fillId="0" borderId="14" xfId="0" applyFont="1" applyBorder="1"/>
    <xf numFmtId="0" fontId="7" fillId="0" borderId="6" xfId="0" applyFont="1" applyBorder="1" applyAlignment="1">
      <alignment wrapText="1"/>
    </xf>
    <xf numFmtId="0" fontId="0" fillId="0" borderId="10" xfId="0" applyBorder="1"/>
    <xf numFmtId="164" fontId="8" fillId="0" borderId="10" xfId="1" applyNumberFormat="1" applyFont="1" applyBorder="1" applyAlignment="1">
      <alignment horizontal="center"/>
    </xf>
    <xf numFmtId="0" fontId="0" fillId="0" borderId="11" xfId="0" applyBorder="1"/>
    <xf numFmtId="0" fontId="0" fillId="0" borderId="12" xfId="0" applyBorder="1"/>
    <xf numFmtId="0" fontId="2" fillId="5" borderId="10" xfId="6" applyBorder="1"/>
    <xf numFmtId="0" fontId="2" fillId="5" borderId="13" xfId="6" applyBorder="1" applyAlignment="1">
      <alignment horizontal="center" wrapText="1"/>
    </xf>
    <xf numFmtId="0" fontId="2" fillId="5" borderId="1" xfId="6" applyBorder="1" applyAlignment="1">
      <alignment horizontal="center" wrapText="1"/>
    </xf>
    <xf numFmtId="0" fontId="2" fillId="5" borderId="14" xfId="6" applyBorder="1" applyAlignment="1">
      <alignment horizontal="center" wrapText="1"/>
    </xf>
    <xf numFmtId="164" fontId="0" fillId="0" borderId="1" xfId="1" applyNumberFormat="1" applyFont="1" applyBorder="1"/>
    <xf numFmtId="0" fontId="0" fillId="0" borderId="13" xfId="0" applyBorder="1">
      <extLst>
        <ext xmlns:xfpb="http://schemas.microsoft.com/office/spreadsheetml/2022/featurepropertybag" uri="{C7286773-470A-42A8-94C5-96B5CB345126}">
          <xfpb:xfComplement i="0"/>
        </ext>
      </extLst>
    </xf>
    <xf numFmtId="0" fontId="0" fillId="0" borderId="1" xfId="0" applyBorder="1">
      <extLst>
        <ext xmlns:xfpb="http://schemas.microsoft.com/office/spreadsheetml/2022/featurepropertybag" uri="{C7286773-470A-42A8-94C5-96B5CB345126}">
          <xfpb:xfComplement i="0"/>
        </ext>
      </extLst>
    </xf>
    <xf numFmtId="0" fontId="0" fillId="0" borderId="14" xfId="0" applyBorder="1">
      <extLst>
        <ext xmlns:xfpb="http://schemas.microsoft.com/office/spreadsheetml/2022/featurepropertybag" uri="{C7286773-470A-42A8-94C5-96B5CB345126}">
          <xfpb:xfComplement i="0"/>
        </ext>
      </extLst>
    </xf>
    <xf numFmtId="0" fontId="0" fillId="0" borderId="2" xfId="0" applyBorder="1">
      <extLst>
        <ext xmlns:xfpb="http://schemas.microsoft.com/office/spreadsheetml/2022/featurepropertybag" uri="{C7286773-470A-42A8-94C5-96B5CB345126}">
          <xfpb:xfComplement i="0"/>
        </ext>
      </extLst>
    </xf>
    <xf numFmtId="0" fontId="0" fillId="0" borderId="0" xfId="0">
      <extLst>
        <ext xmlns:xfpb="http://schemas.microsoft.com/office/spreadsheetml/2022/featurepropertybag" uri="{C7286773-470A-42A8-94C5-96B5CB345126}">
          <xfpb:xfComplement i="0"/>
        </ext>
      </extLst>
    </xf>
    <xf numFmtId="0" fontId="0" fillId="0" borderId="3" xfId="0" applyBorder="1">
      <extLst>
        <ext xmlns:xfpb="http://schemas.microsoft.com/office/spreadsheetml/2022/featurepropertybag" uri="{C7286773-470A-42A8-94C5-96B5CB345126}">
          <xfpb:xfComplement i="0"/>
        </ext>
      </extLst>
    </xf>
    <xf numFmtId="0" fontId="0" fillId="0" borderId="4" xfId="0" applyBorder="1">
      <extLst>
        <ext xmlns:xfpb="http://schemas.microsoft.com/office/spreadsheetml/2022/featurepropertybag" uri="{C7286773-470A-42A8-94C5-96B5CB345126}">
          <xfpb:xfComplement i="0"/>
        </ext>
      </extLst>
    </xf>
    <xf numFmtId="0" fontId="0" fillId="0" borderId="6" xfId="0" applyBorder="1">
      <extLst>
        <ext xmlns:xfpb="http://schemas.microsoft.com/office/spreadsheetml/2022/featurepropertybag" uri="{C7286773-470A-42A8-94C5-96B5CB345126}">
          <xfpb:xfComplement i="0"/>
        </ext>
      </extLst>
    </xf>
    <xf numFmtId="0" fontId="2" fillId="9" borderId="7" xfId="6" applyFill="1" applyBorder="1" applyAlignment="1">
      <alignment horizontal="center" wrapText="1"/>
    </xf>
    <xf numFmtId="0" fontId="2" fillId="9" borderId="8" xfId="6" applyFill="1" applyBorder="1" applyAlignment="1">
      <alignment horizontal="center" wrapText="1"/>
    </xf>
    <xf numFmtId="0" fontId="2" fillId="9" borderId="8" xfId="6" applyNumberFormat="1" applyFill="1" applyBorder="1" applyAlignment="1">
      <alignment horizontal="center" wrapText="1"/>
    </xf>
    <xf numFmtId="0" fontId="2" fillId="9" borderId="9" xfId="6" applyFill="1" applyBorder="1" applyAlignment="1">
      <alignment horizontal="center" wrapText="1"/>
    </xf>
    <xf numFmtId="0" fontId="2" fillId="9" borderId="7" xfId="5" applyFill="1" applyBorder="1" applyAlignment="1">
      <alignment horizontal="right"/>
    </xf>
    <xf numFmtId="0" fontId="2" fillId="9" borderId="4" xfId="5" applyFill="1" applyBorder="1" applyAlignment="1">
      <alignment horizontal="right"/>
    </xf>
    <xf numFmtId="0" fontId="2" fillId="9" borderId="8" xfId="5" applyFill="1" applyBorder="1" applyAlignment="1">
      <alignment wrapText="1"/>
    </xf>
    <xf numFmtId="0" fontId="2" fillId="9" borderId="7" xfId="6" applyFill="1" applyBorder="1"/>
    <xf numFmtId="0" fontId="2" fillId="9" borderId="8" xfId="6" applyFill="1" applyBorder="1"/>
    <xf numFmtId="0" fontId="2" fillId="9" borderId="9" xfId="6" applyFill="1" applyBorder="1"/>
    <xf numFmtId="0" fontId="2" fillId="9" borderId="7" xfId="5" applyFill="1" applyBorder="1"/>
    <xf numFmtId="0" fontId="0" fillId="7" borderId="0" xfId="0" applyFill="1" applyAlignment="1">
      <alignment horizontal="left"/>
    </xf>
    <xf numFmtId="0" fontId="4" fillId="6" borderId="0" xfId="0" applyFont="1" applyFill="1" applyAlignment="1">
      <alignment horizontal="center" vertical="center"/>
    </xf>
    <xf numFmtId="0" fontId="0" fillId="6" borderId="0" xfId="0" applyFill="1" applyAlignment="1">
      <alignment horizontal="center" vertical="center"/>
    </xf>
    <xf numFmtId="0" fontId="10" fillId="0" borderId="7" xfId="3" applyFont="1" applyBorder="1" applyAlignment="1">
      <alignment horizontal="center"/>
    </xf>
    <xf numFmtId="0" fontId="10" fillId="0" borderId="8" xfId="3" applyFont="1" applyBorder="1" applyAlignment="1">
      <alignment horizontal="center"/>
    </xf>
    <xf numFmtId="0" fontId="10" fillId="0" borderId="9" xfId="3" applyFont="1" applyBorder="1" applyAlignment="1">
      <alignment horizontal="center"/>
    </xf>
    <xf numFmtId="0" fontId="2" fillId="5" borderId="7" xfId="6" applyBorder="1" applyAlignment="1">
      <alignment horizontal="center"/>
    </xf>
    <xf numFmtId="0" fontId="2" fillId="5" borderId="8" xfId="6" applyBorder="1" applyAlignment="1">
      <alignment horizontal="center"/>
    </xf>
    <xf numFmtId="0" fontId="2" fillId="5" borderId="9" xfId="6" applyBorder="1" applyAlignment="1">
      <alignment horizontal="center"/>
    </xf>
    <xf numFmtId="0" fontId="0" fillId="0" borderId="10" xfId="0" applyBorder="1"/>
    <xf numFmtId="0" fontId="2" fillId="5" borderId="10" xfId="6" applyBorder="1" applyAlignment="1">
      <alignment horizontal="center"/>
    </xf>
    <xf numFmtId="0" fontId="2" fillId="5" borderId="2" xfId="6" applyBorder="1" applyAlignment="1">
      <alignment horizontal="center" wrapText="1"/>
    </xf>
    <xf numFmtId="0" fontId="2" fillId="5" borderId="0" xfId="6" applyBorder="1" applyAlignment="1">
      <alignment horizontal="center" wrapText="1"/>
    </xf>
    <xf numFmtId="0" fontId="2" fillId="5" borderId="4" xfId="6" applyBorder="1" applyAlignment="1">
      <alignment horizontal="center" wrapText="1"/>
    </xf>
    <xf numFmtId="0" fontId="2" fillId="5" borderId="5" xfId="6" applyBorder="1" applyAlignment="1">
      <alignment horizontal="center" wrapText="1"/>
    </xf>
    <xf numFmtId="0" fontId="2" fillId="5" borderId="13" xfId="6" applyBorder="1" applyAlignment="1">
      <alignment horizontal="center" wrapText="1"/>
    </xf>
    <xf numFmtId="0" fontId="2" fillId="5" borderId="1" xfId="6" applyBorder="1" applyAlignment="1">
      <alignment horizontal="center" wrapText="1"/>
    </xf>
    <xf numFmtId="0" fontId="2" fillId="9" borderId="1" xfId="6" applyNumberFormat="1" applyFill="1" applyBorder="1" applyAlignment="1">
      <alignment horizontal="center" wrapText="1"/>
    </xf>
    <xf numFmtId="0" fontId="2" fillId="9" borderId="1" xfId="6" applyFill="1" applyBorder="1" applyAlignment="1">
      <alignment horizontal="center" wrapText="1"/>
    </xf>
    <xf numFmtId="0" fontId="1" fillId="2" borderId="5" xfId="2" applyBorder="1" applyAlignment="1">
      <alignment wrapText="1"/>
    </xf>
    <xf numFmtId="0" fontId="1" fillId="2" borderId="5" xfId="2" applyBorder="1" applyAlignment="1">
      <alignment horizontal="right" wrapText="1"/>
    </xf>
    <xf numFmtId="0" fontId="1" fillId="8" borderId="0" xfId="4" applyNumberFormat="1" applyFill="1" applyBorder="1"/>
    <xf numFmtId="0" fontId="1" fillId="8" borderId="1" xfId="4" applyNumberFormat="1" applyFill="1" applyBorder="1"/>
    <xf numFmtId="0" fontId="1" fillId="8" borderId="5" xfId="4" applyNumberFormat="1" applyFill="1" applyBorder="1"/>
  </cellXfs>
  <cellStyles count="7">
    <cellStyle name="20% - Accent4" xfId="4" builtinId="42"/>
    <cellStyle name="20% - Accent5" xfId="2" builtinId="46"/>
    <cellStyle name="Accent5" xfId="5" builtinId="45"/>
    <cellStyle name="Accent6" xfId="6" builtinId="49"/>
    <cellStyle name="Normal" xfId="0" builtinId="0"/>
    <cellStyle name="Percent" xfId="1" builtinId="5"/>
    <cellStyle name="Title" xfId="3" builtinId="15"/>
  </cellStyles>
  <dxfs count="8">
    <dxf>
      <fill>
        <patternFill>
          <bgColor theme="2"/>
        </patternFill>
      </fill>
    </dxf>
    <dxf>
      <border>
        <bottom style="thin">
          <color auto="1"/>
        </bottom>
        <vertical/>
        <horizontal/>
      </border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9" tint="0.59996337778862885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b val="0"/>
        <i/>
        <color theme="9" tint="-0.499984740745262"/>
      </font>
      <fill>
        <patternFill>
          <bgColor theme="9" tint="0.59996337778862885"/>
        </patternFill>
      </fill>
    </dxf>
  </dxfs>
  <tableStyles count="0" defaultTableStyle="TableStyleMedium2" defaultPivotStyle="PivotStyleLight16"/>
  <colors>
    <mruColors>
      <color rgb="FFFFC7CE"/>
      <color rgb="FF000000"/>
      <color rgb="FFFFCC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microsoft.com/office/2022/11/relationships/FeaturePropertyBag" Target="featurePropertyBag/featurePropertyBag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17/10/relationships/person" Target="persons/person.xml"/><Relationship Id="rId5" Type="http://schemas.openxmlformats.org/officeDocument/2006/relationships/worksheet" Target="worksheets/sheet5.xml"/><Relationship Id="rId10" Type="http://schemas.openxmlformats.org/officeDocument/2006/relationships/sheetMetadata" Target="metadata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Relationship Id="rId14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Overal</a:t>
            </a:r>
            <a:r>
              <a:rPr lang="en-US" baseline="0"/>
              <a:t>l Average Site Scores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Sites!$B$2:$F$2</c:f>
              <c:strCache>
                <c:ptCount val="5"/>
                <c:pt idx="0">
                  <c:v>Original Score</c:v>
                </c:pt>
                <c:pt idx="1">
                  <c:v>Highest Possible Score</c:v>
                </c:pt>
                <c:pt idx="2">
                  <c:v>Score if Cures Accepted</c:v>
                </c:pt>
                <c:pt idx="3">
                  <c:v>Highest Curable Score</c:v>
                </c:pt>
                <c:pt idx="4">
                  <c:v>Final Score</c:v>
                </c:pt>
              </c:strCache>
            </c:strRef>
          </c:cat>
          <c:val>
            <c:numRef>
              <c:f>Sites!$B$25:$F$25</c:f>
              <c:numCache>
                <c:formatCode>0.0%</c:formatCode>
                <c:ptCount val="5"/>
                <c:pt idx="0">
                  <c:v>0.89345723538429112</c:v>
                </c:pt>
                <c:pt idx="1">
                  <c:v>0.91865545469075793</c:v>
                </c:pt>
                <c:pt idx="2">
                  <c:v>0.91612452685570633</c:v>
                </c:pt>
                <c:pt idx="3">
                  <c:v>0.94340860474803157</c:v>
                </c:pt>
                <c:pt idx="4">
                  <c:v>0.91512452685570644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BF0-44BC-9564-7E76768F389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943710224"/>
        <c:axId val="1943709264"/>
      </c:barChart>
      <c:catAx>
        <c:axId val="194371022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43709264"/>
        <c:crosses val="autoZero"/>
        <c:auto val="1"/>
        <c:lblAlgn val="ctr"/>
        <c:lblOffset val="100"/>
        <c:noMultiLvlLbl val="0"/>
      </c:catAx>
      <c:valAx>
        <c:axId val="19437092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4371022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>
      <a:outerShdw blurRad="63500" algn="ctr" rotWithShape="0">
        <a:prstClr val="black">
          <a:alpha val="40000"/>
        </a:prstClr>
      </a:outerShdw>
    </a:effec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Minimum Site</a:t>
            </a:r>
            <a:r>
              <a:rPr lang="en-US" baseline="0"/>
              <a:t> Score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Pt>
            <c:idx val="3"/>
            <c:invertIfNegative val="0"/>
            <c:bubble3D val="0"/>
            <c:spPr>
              <a:solidFill>
                <a:schemeClr val="accent2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39A3-4A1A-B9B7-FFCA0E07A3CC}"/>
              </c:ext>
            </c:extLst>
          </c:dPt>
          <c:dLbls>
            <c:dLbl>
              <c:idx val="0"/>
              <c:tx>
                <c:strRef>
                  <c:f>Calculations!$G$1</c:f>
                  <c:strCache>
                    <c:ptCount val="1"/>
                    <c:pt idx="0">
                      <c:v>Site 11</c:v>
                    </c:pt>
                  </c:strCache>
                </c:strRef>
              </c:tx>
              <c:dLblPos val="outEnd"/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{26A2DC9A-BE99-4B69-B886-8F8D6AC35F6D}</c15:txfldGUID>
                      <c15:f>Calculations!$G$1</c15:f>
                      <c15:dlblFieldTableCache>
                        <c:ptCount val="1"/>
                        <c:pt idx="0">
                          <c:v>Site 11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2-39A3-4A1A-B9B7-FFCA0E07A3CC}"/>
                </c:ext>
              </c:extLst>
            </c:dLbl>
            <c:dLbl>
              <c:idx val="1"/>
              <c:tx>
                <c:strRef>
                  <c:f>Calculations!$H$1</c:f>
                  <c:strCache>
                    <c:ptCount val="1"/>
                    <c:pt idx="0">
                      <c:v>Site 11</c:v>
                    </c:pt>
                  </c:strCache>
                </c:strRef>
              </c:tx>
              <c:dLblPos val="outEnd"/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{055709C3-C8A5-4E91-B72B-5F2A8DF64586}</c15:txfldGUID>
                      <c15:f>Calculations!$H$1</c15:f>
                      <c15:dlblFieldTableCache>
                        <c:ptCount val="1"/>
                        <c:pt idx="0">
                          <c:v>Site 11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3-39A3-4A1A-B9B7-FFCA0E07A3CC}"/>
                </c:ext>
              </c:extLst>
            </c:dLbl>
            <c:dLbl>
              <c:idx val="2"/>
              <c:tx>
                <c:strRef>
                  <c:f>Calculations!$I$1</c:f>
                  <c:strCache>
                    <c:ptCount val="1"/>
                    <c:pt idx="0">
                      <c:v>Site 11</c:v>
                    </c:pt>
                  </c:strCache>
                </c:strRef>
              </c:tx>
              <c:dLblPos val="outEnd"/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{5A51DFF1-7CED-4BB5-B085-293E09C9FE2E}</c15:txfldGUID>
                      <c15:f>Calculations!$I$1</c15:f>
                      <c15:dlblFieldTableCache>
                        <c:ptCount val="1"/>
                        <c:pt idx="0">
                          <c:v>Site 11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4-39A3-4A1A-B9B7-FFCA0E07A3CC}"/>
                </c:ext>
              </c:extLst>
            </c:dLbl>
            <c:dLbl>
              <c:idx val="3"/>
              <c:tx>
                <c:strRef>
                  <c:f>Calculations!$J$1</c:f>
                  <c:strCache>
                    <c:ptCount val="1"/>
                    <c:pt idx="0">
                      <c:v>Site 13</c:v>
                    </c:pt>
                  </c:strCache>
                </c:strRef>
              </c:tx>
              <c:dLblPos val="outEnd"/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{111094D8-C889-46D5-8BD5-EB4B09861FE2}</c15:txfldGUID>
                      <c15:f>Calculations!$J$1</c15:f>
                      <c15:dlblFieldTableCache>
                        <c:ptCount val="1"/>
                        <c:pt idx="0">
                          <c:v>Site 13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1-39A3-4A1A-B9B7-FFCA0E07A3CC}"/>
                </c:ext>
              </c:extLst>
            </c:dLbl>
            <c:dLbl>
              <c:idx val="4"/>
              <c:tx>
                <c:strRef>
                  <c:f>Calculations!$K$1</c:f>
                  <c:strCache>
                    <c:ptCount val="1"/>
                    <c:pt idx="0">
                      <c:v>Site 11</c:v>
                    </c:pt>
                  </c:strCache>
                </c:strRef>
              </c:tx>
              <c:dLblPos val="outEnd"/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{3E075327-91FC-4EBC-B619-63A3ABB217E2}</c15:txfldGUID>
                      <c15:f>Calculations!$K$1</c15:f>
                      <c15:dlblFieldTableCache>
                        <c:ptCount val="1"/>
                        <c:pt idx="0">
                          <c:v>Site 11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5-39A3-4A1A-B9B7-FFCA0E07A3CC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Sites!$B$2:$F$2</c:f>
              <c:strCache>
                <c:ptCount val="5"/>
                <c:pt idx="0">
                  <c:v>Original Score</c:v>
                </c:pt>
                <c:pt idx="1">
                  <c:v>Highest Possible Score</c:v>
                </c:pt>
                <c:pt idx="2">
                  <c:v>Score if Cures Accepted</c:v>
                </c:pt>
                <c:pt idx="3">
                  <c:v>Highest Curable Score</c:v>
                </c:pt>
                <c:pt idx="4">
                  <c:v>Final Score</c:v>
                </c:pt>
              </c:strCache>
            </c:strRef>
          </c:cat>
          <c:val>
            <c:numRef>
              <c:f>Sites!$B$26:$F$26</c:f>
              <c:numCache>
                <c:formatCode>0.0%</c:formatCode>
                <c:ptCount val="5"/>
                <c:pt idx="0">
                  <c:v>0.65555555555555556</c:v>
                </c:pt>
                <c:pt idx="1">
                  <c:v>0.76666666666666672</c:v>
                </c:pt>
                <c:pt idx="2">
                  <c:v>0.76666666666666672</c:v>
                </c:pt>
                <c:pt idx="3">
                  <c:v>0.85</c:v>
                </c:pt>
                <c:pt idx="4">
                  <c:v>0.76666666666666672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39A3-4A1A-B9B7-FFCA0E07A3CC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overlap val="-27"/>
        <c:axId val="1356040464"/>
        <c:axId val="1356041904"/>
      </c:barChart>
      <c:catAx>
        <c:axId val="135604046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56041904"/>
        <c:crosses val="autoZero"/>
        <c:auto val="1"/>
        <c:lblAlgn val="ctr"/>
        <c:lblOffset val="100"/>
        <c:noMultiLvlLbl val="0"/>
      </c:catAx>
      <c:valAx>
        <c:axId val="13560419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5604046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>
      <a:outerShdw blurRad="63500" algn="ctr" rotWithShape="0">
        <a:prstClr val="black">
          <a:alpha val="40000"/>
        </a:prstClr>
      </a:outerShdw>
    </a:effec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aseline="0"/>
              <a:t>Percentage of Sites that Passed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1"/>
          <c:order val="0"/>
          <c:tx>
            <c:v>Percentage</c:v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Lit>
              <c:ptCount val="5"/>
              <c:pt idx="0">
                <c:v>Initial</c:v>
              </c:pt>
              <c:pt idx="1">
                <c:v>Final</c:v>
              </c:pt>
              <c:pt idx="2">
                <c:v>Highest Possible</c:v>
              </c:pt>
              <c:pt idx="3">
                <c:v>If All Cures Accepted</c:v>
              </c:pt>
              <c:pt idx="4">
                <c:v>If All Cured</c:v>
              </c:pt>
            </c:strLit>
          </c:cat>
          <c:val>
            <c:numRef>
              <c:f>Calculations!$C$53:$C$57</c:f>
              <c:numCache>
                <c:formatCode>0.0%</c:formatCode>
                <c:ptCount val="5"/>
                <c:pt idx="0">
                  <c:v>0.75</c:v>
                </c:pt>
                <c:pt idx="1">
                  <c:v>0.85</c:v>
                </c:pt>
                <c:pt idx="2">
                  <c:v>0.85</c:v>
                </c:pt>
                <c:pt idx="3">
                  <c:v>0.85</c:v>
                </c:pt>
                <c:pt idx="4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255A-425A-9CFE-875CD4D9BE6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453038640"/>
        <c:axId val="453041040"/>
        <c:extLst/>
      </c:barChart>
      <c:catAx>
        <c:axId val="45303864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3041040"/>
        <c:crosses val="autoZero"/>
        <c:auto val="1"/>
        <c:lblAlgn val="ctr"/>
        <c:lblOffset val="100"/>
        <c:noMultiLvlLbl val="0"/>
      </c:catAx>
      <c:valAx>
        <c:axId val="453041040"/>
        <c:scaling>
          <c:orientation val="minMax"/>
          <c:max val="1"/>
          <c:min val="0.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303864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>
      <a:outerShdw blurRad="63500" algn="ctr" rotWithShape="0">
        <a:prstClr val="black">
          <a:alpha val="40000"/>
        </a:prstClr>
      </a:outerShdw>
    </a:effec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Number of Curable Questions</a:t>
            </a:r>
            <a:r>
              <a:rPr lang="en-US" baseline="0"/>
              <a:t> for Each Site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Number of Submitted Questions</c:v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'Calculations 2'!$A$2:$A$21</c:f>
              <c:numCache>
                <c:formatCode>General</c:formatCode>
                <c:ptCount val="20"/>
                <c:pt idx="0">
                  <c:v>1</c:v>
                </c:pt>
                <c:pt idx="1">
                  <c:v>2</c:v>
                </c:pt>
                <c:pt idx="2">
                  <c:v>4</c:v>
                </c:pt>
                <c:pt idx="3">
                  <c:v>5</c:v>
                </c:pt>
                <c:pt idx="4">
                  <c:v>6</c:v>
                </c:pt>
                <c:pt idx="5">
                  <c:v>7</c:v>
                </c:pt>
                <c:pt idx="6">
                  <c:v>8</c:v>
                </c:pt>
                <c:pt idx="7">
                  <c:v>9</c:v>
                </c:pt>
                <c:pt idx="8">
                  <c:v>10</c:v>
                </c:pt>
                <c:pt idx="9">
                  <c:v>11</c:v>
                </c:pt>
                <c:pt idx="10">
                  <c:v>12</c:v>
                </c:pt>
                <c:pt idx="11">
                  <c:v>13</c:v>
                </c:pt>
                <c:pt idx="12">
                  <c:v>14</c:v>
                </c:pt>
                <c:pt idx="13">
                  <c:v>15</c:v>
                </c:pt>
                <c:pt idx="14">
                  <c:v>17</c:v>
                </c:pt>
                <c:pt idx="15">
                  <c:v>18</c:v>
                </c:pt>
                <c:pt idx="16">
                  <c:v>19</c:v>
                </c:pt>
                <c:pt idx="17">
                  <c:v>20</c:v>
                </c:pt>
                <c:pt idx="18">
                  <c:v>21</c:v>
                </c:pt>
                <c:pt idx="19">
                  <c:v>22</c:v>
                </c:pt>
              </c:numCache>
            </c:numRef>
          </c:cat>
          <c:val>
            <c:numRef>
              <c:f>'Calculations 2'!$N$2:$N$21</c:f>
              <c:numCache>
                <c:formatCode>General</c:formatCode>
                <c:ptCount val="20"/>
                <c:pt idx="0">
                  <c:v>0</c:v>
                </c:pt>
                <c:pt idx="1">
                  <c:v>0</c:v>
                </c:pt>
                <c:pt idx="2">
                  <c:v>2</c:v>
                </c:pt>
                <c:pt idx="3">
                  <c:v>1</c:v>
                </c:pt>
                <c:pt idx="4">
                  <c:v>0</c:v>
                </c:pt>
                <c:pt idx="5">
                  <c:v>1</c:v>
                </c:pt>
                <c:pt idx="6">
                  <c:v>2</c:v>
                </c:pt>
                <c:pt idx="7">
                  <c:v>3</c:v>
                </c:pt>
                <c:pt idx="8">
                  <c:v>0</c:v>
                </c:pt>
                <c:pt idx="9">
                  <c:v>3</c:v>
                </c:pt>
                <c:pt idx="10">
                  <c:v>1</c:v>
                </c:pt>
                <c:pt idx="11">
                  <c:v>1</c:v>
                </c:pt>
                <c:pt idx="12">
                  <c:v>1</c:v>
                </c:pt>
                <c:pt idx="13">
                  <c:v>1</c:v>
                </c:pt>
                <c:pt idx="14">
                  <c:v>2</c:v>
                </c:pt>
                <c:pt idx="15">
                  <c:v>0</c:v>
                </c:pt>
                <c:pt idx="16">
                  <c:v>1</c:v>
                </c:pt>
                <c:pt idx="17">
                  <c:v>0</c:v>
                </c:pt>
                <c:pt idx="18">
                  <c:v>1</c:v>
                </c:pt>
                <c:pt idx="1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589-4EA5-899A-BEA0EEA14B4C}"/>
            </c:ext>
          </c:extLst>
        </c:ser>
        <c:ser>
          <c:idx val="1"/>
          <c:order val="1"/>
          <c:tx>
            <c:v>Number of Accepted Questions</c:v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numRef>
              <c:f>'Calculations 2'!$A$2:$A$21</c:f>
              <c:numCache>
                <c:formatCode>General</c:formatCode>
                <c:ptCount val="20"/>
                <c:pt idx="0">
                  <c:v>1</c:v>
                </c:pt>
                <c:pt idx="1">
                  <c:v>2</c:v>
                </c:pt>
                <c:pt idx="2">
                  <c:v>4</c:v>
                </c:pt>
                <c:pt idx="3">
                  <c:v>5</c:v>
                </c:pt>
                <c:pt idx="4">
                  <c:v>6</c:v>
                </c:pt>
                <c:pt idx="5">
                  <c:v>7</c:v>
                </c:pt>
                <c:pt idx="6">
                  <c:v>8</c:v>
                </c:pt>
                <c:pt idx="7">
                  <c:v>9</c:v>
                </c:pt>
                <c:pt idx="8">
                  <c:v>10</c:v>
                </c:pt>
                <c:pt idx="9">
                  <c:v>11</c:v>
                </c:pt>
                <c:pt idx="10">
                  <c:v>12</c:v>
                </c:pt>
                <c:pt idx="11">
                  <c:v>13</c:v>
                </c:pt>
                <c:pt idx="12">
                  <c:v>14</c:v>
                </c:pt>
                <c:pt idx="13">
                  <c:v>15</c:v>
                </c:pt>
                <c:pt idx="14">
                  <c:v>17</c:v>
                </c:pt>
                <c:pt idx="15">
                  <c:v>18</c:v>
                </c:pt>
                <c:pt idx="16">
                  <c:v>19</c:v>
                </c:pt>
                <c:pt idx="17">
                  <c:v>20</c:v>
                </c:pt>
                <c:pt idx="18">
                  <c:v>21</c:v>
                </c:pt>
                <c:pt idx="19">
                  <c:v>22</c:v>
                </c:pt>
              </c:numCache>
            </c:numRef>
          </c:cat>
          <c:val>
            <c:numRef>
              <c:f>'Calculations 2'!$O$2:$O$21</c:f>
              <c:numCache>
                <c:formatCode>General</c:formatCode>
                <c:ptCount val="20"/>
                <c:pt idx="0">
                  <c:v>0</c:v>
                </c:pt>
                <c:pt idx="1">
                  <c:v>0</c:v>
                </c:pt>
                <c:pt idx="2">
                  <c:v>2</c:v>
                </c:pt>
                <c:pt idx="3">
                  <c:v>1</c:v>
                </c:pt>
                <c:pt idx="4">
                  <c:v>0</c:v>
                </c:pt>
                <c:pt idx="5">
                  <c:v>1</c:v>
                </c:pt>
                <c:pt idx="6">
                  <c:v>2</c:v>
                </c:pt>
                <c:pt idx="7">
                  <c:v>3</c:v>
                </c:pt>
                <c:pt idx="8">
                  <c:v>0</c:v>
                </c:pt>
                <c:pt idx="9">
                  <c:v>3</c:v>
                </c:pt>
                <c:pt idx="10">
                  <c:v>1</c:v>
                </c:pt>
                <c:pt idx="11">
                  <c:v>1</c:v>
                </c:pt>
                <c:pt idx="12">
                  <c:v>1</c:v>
                </c:pt>
                <c:pt idx="13">
                  <c:v>1</c:v>
                </c:pt>
                <c:pt idx="14">
                  <c:v>1</c:v>
                </c:pt>
                <c:pt idx="15">
                  <c:v>0</c:v>
                </c:pt>
                <c:pt idx="16">
                  <c:v>1</c:v>
                </c:pt>
                <c:pt idx="17">
                  <c:v>0</c:v>
                </c:pt>
                <c:pt idx="18">
                  <c:v>1</c:v>
                </c:pt>
                <c:pt idx="1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589-4EA5-899A-BEA0EEA14B4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470315680"/>
        <c:axId val="470316160"/>
      </c:barChart>
      <c:catAx>
        <c:axId val="470315680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Site GDSO</a:t>
                </a:r>
                <a:r>
                  <a:rPr lang="en-US" baseline="0"/>
                  <a:t> Number</a:t>
                </a:r>
                <a:endParaRPr lang="en-US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0316160"/>
        <c:crosses val="autoZero"/>
        <c:auto val="1"/>
        <c:lblAlgn val="ctr"/>
        <c:lblOffset val="100"/>
        <c:noMultiLvlLbl val="0"/>
      </c:catAx>
      <c:valAx>
        <c:axId val="47031616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Number</a:t>
                </a:r>
                <a:r>
                  <a:rPr lang="en-US" baseline="0"/>
                  <a:t> of Questions</a:t>
                </a:r>
                <a:endParaRPr lang="en-US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031568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>
      <a:outerShdw blurRad="63500" algn="ctr" rotWithShape="0">
        <a:prstClr val="black">
          <a:alpha val="40000"/>
        </a:prstClr>
      </a:outerShdw>
    </a:effec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Number of Curable Questions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pieChart>
        <c:varyColors val="1"/>
        <c:ser>
          <c:idx val="0"/>
          <c:order val="0"/>
          <c:tx>
            <c:v>Number of Questions</c:v>
          </c:tx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AF7A-4034-B501-63F4A5C88E50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AF7A-4034-B501-63F4A5C88E50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AF7A-4034-B501-63F4A5C88E50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AF7A-4034-B501-63F4A5C88E50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fld id="{09574965-BD15-49CF-B648-55113EC09EAA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bestFit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AF7A-4034-B501-63F4A5C88E50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7C02287D-79EA-4B6C-B046-D81166510811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bestFit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AF7A-4034-B501-63F4A5C88E50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04AAB29C-955C-49A8-BF24-F447B9649001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bestFit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AF7A-4034-B501-63F4A5C88E50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1A65ACE4-8339-4EE3-B4BE-C66BD9AE9C90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bestFit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AF7A-4034-B501-63F4A5C88E50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bestFit"/>
            <c:showLegendKey val="0"/>
            <c:showVal val="0"/>
            <c:showCatName val="0"/>
            <c:showSerName val="0"/>
            <c:showPercent val="0"/>
            <c:showBubbleSize val="0"/>
            <c:separator>, </c:separator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>
                <c15:showDataLabelsRange val="1"/>
              </c:ext>
            </c:extLst>
          </c:dLbls>
          <c:cat>
            <c:strRef>
              <c:f>Calculations!$C$5:$C$8</c:f>
              <c:strCache>
                <c:ptCount val="4"/>
                <c:pt idx="0">
                  <c:v>Accepted</c:v>
                </c:pt>
                <c:pt idx="1">
                  <c:v>Curable but not possible</c:v>
                </c:pt>
                <c:pt idx="2">
                  <c:v>Possible not submitted</c:v>
                </c:pt>
                <c:pt idx="3">
                  <c:v>Submitted not accepted</c:v>
                </c:pt>
              </c:strCache>
            </c:strRef>
          </c:cat>
          <c:val>
            <c:numRef>
              <c:f>Calculations!$D$5:$D$8</c:f>
              <c:numCache>
                <c:formatCode>General</c:formatCode>
                <c:ptCount val="4"/>
                <c:pt idx="0">
                  <c:v>19</c:v>
                </c:pt>
                <c:pt idx="1">
                  <c:v>13</c:v>
                </c:pt>
                <c:pt idx="2">
                  <c:v>2</c:v>
                </c:pt>
                <c:pt idx="3">
                  <c:v>1</c:v>
                </c:pt>
              </c:numCache>
            </c:numRef>
          </c:val>
          <c:extLst>
            <c:ext xmlns:c15="http://schemas.microsoft.com/office/drawing/2012/chart" uri="{02D57815-91ED-43cb-92C2-25804820EDAC}">
              <c15:datalabelsRange>
                <c15:f>Calculations!$E$5:$E$8</c15:f>
                <c15:dlblRangeCache>
                  <c:ptCount val="4"/>
                  <c:pt idx="0">
                    <c:v>19</c:v>
                  </c:pt>
                  <c:pt idx="1">
                    <c:v>13</c:v>
                  </c:pt>
                  <c:pt idx="2">
                    <c:v>2</c:v>
                  </c:pt>
                  <c:pt idx="3">
                    <c:v>1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8-601D-4BD8-911E-579A52FA11F7}"/>
            </c:ext>
          </c:extLst>
        </c:ser>
        <c:dLbls>
          <c:dLblPos val="bestFit"/>
          <c:showLegendKey val="0"/>
          <c:showVal val="1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>
      <a:outerShdw blurRad="63500" algn="ctr" rotWithShape="0">
        <a:prstClr val="black">
          <a:alpha val="40000"/>
        </a:prstClr>
      </a:outerShdw>
    </a:effec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Curable Question</a:t>
            </a:r>
            <a:r>
              <a:rPr lang="en-US" baseline="0"/>
              <a:t> Count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Calculations!$A$39:$A$51</c:f>
              <c:numCache>
                <c:formatCode>General</c:formatCode>
                <c:ptCount val="1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7</c:v>
                </c:pt>
                <c:pt idx="6">
                  <c:v>8</c:v>
                </c:pt>
                <c:pt idx="7">
                  <c:v>10</c:v>
                </c:pt>
                <c:pt idx="8">
                  <c:v>13</c:v>
                </c:pt>
                <c:pt idx="9">
                  <c:v>14</c:v>
                </c:pt>
                <c:pt idx="10">
                  <c:v>22</c:v>
                </c:pt>
                <c:pt idx="11">
                  <c:v>23</c:v>
                </c:pt>
                <c:pt idx="12">
                  <c:v>24</c:v>
                </c:pt>
              </c:numCache>
            </c:numRef>
          </c:cat>
          <c:val>
            <c:numRef>
              <c:f>Calculations!$C$39:$C$51</c:f>
              <c:numCache>
                <c:formatCode>General</c:formatCode>
                <c:ptCount val="13"/>
                <c:pt idx="0">
                  <c:v>1</c:v>
                </c:pt>
                <c:pt idx="1">
                  <c:v>2</c:v>
                </c:pt>
                <c:pt idx="2">
                  <c:v>1</c:v>
                </c:pt>
                <c:pt idx="3">
                  <c:v>2</c:v>
                </c:pt>
                <c:pt idx="4">
                  <c:v>1</c:v>
                </c:pt>
                <c:pt idx="5">
                  <c:v>4</c:v>
                </c:pt>
                <c:pt idx="6">
                  <c:v>3</c:v>
                </c:pt>
                <c:pt idx="7">
                  <c:v>4</c:v>
                </c:pt>
                <c:pt idx="8">
                  <c:v>1</c:v>
                </c:pt>
                <c:pt idx="9">
                  <c:v>1</c:v>
                </c:pt>
                <c:pt idx="10">
                  <c:v>2</c:v>
                </c:pt>
                <c:pt idx="11">
                  <c:v>12</c:v>
                </c:pt>
                <c:pt idx="12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5C5-49AB-9AC7-00BBCCEAA82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436871424"/>
        <c:axId val="436871904"/>
      </c:barChart>
      <c:catAx>
        <c:axId val="436871424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BP Question Number</a:t>
                </a:r>
                <a:r>
                  <a:rPr lang="en-US" baseline="0"/>
                  <a:t> to Be Cured</a:t>
                </a:r>
                <a:endParaRPr lang="en-US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36871904"/>
        <c:crosses val="autoZero"/>
        <c:auto val="1"/>
        <c:lblAlgn val="ctr"/>
        <c:lblOffset val="100"/>
        <c:noMultiLvlLbl val="0"/>
      </c:catAx>
      <c:valAx>
        <c:axId val="4368719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Number of</a:t>
                </a:r>
                <a:r>
                  <a:rPr lang="en-US" baseline="0"/>
                  <a:t> Sites</a:t>
                </a:r>
                <a:endParaRPr lang="en-US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3687142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>
      <a:outerShdw blurRad="63500" algn="ctr" rotWithShape="0">
        <a:prstClr val="black">
          <a:alpha val="40000"/>
        </a:prstClr>
      </a:outerShdw>
    </a:effec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1</xdr:colOff>
      <xdr:row>50</xdr:row>
      <xdr:rowOff>0</xdr:rowOff>
    </xdr:from>
    <xdr:to>
      <xdr:col>27</xdr:col>
      <xdr:colOff>2</xdr:colOff>
      <xdr:row>51</xdr:row>
      <xdr:rowOff>0</xdr:rowOff>
    </xdr:to>
    <xdr:sp macro="" textlink="">
      <xdr:nvSpPr>
        <xdr:cNvPr id="1037" name="Rectangle 1036">
          <a:extLst>
            <a:ext uri="{FF2B5EF4-FFF2-40B4-BE49-F238E27FC236}">
              <a16:creationId xmlns:a16="http://schemas.microsoft.com/office/drawing/2014/main" id="{C559A8C0-1B68-4ABE-ACDB-67DDE5D23A4F}"/>
            </a:ext>
          </a:extLst>
        </xdr:cNvPr>
        <xdr:cNvSpPr/>
      </xdr:nvSpPr>
      <xdr:spPr>
        <a:xfrm>
          <a:off x="5888183" y="9236364"/>
          <a:ext cx="4710546" cy="184727"/>
        </a:xfrm>
        <a:prstGeom prst="rect">
          <a:avLst/>
        </a:prstGeom>
        <a:solidFill>
          <a:schemeClr val="accent4"/>
        </a:solidFill>
        <a:ln>
          <a:noFill/>
        </a:ln>
        <a:effectLst>
          <a:outerShdw blurRad="63500" algn="ctr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en-US" sz="1100" b="1"/>
        </a:p>
      </xdr:txBody>
    </xdr:sp>
    <xdr:clientData/>
  </xdr:twoCellAnchor>
  <xdr:twoCellAnchor>
    <xdr:from>
      <xdr:col>1</xdr:col>
      <xdr:colOff>1</xdr:colOff>
      <xdr:row>50</xdr:row>
      <xdr:rowOff>0</xdr:rowOff>
    </xdr:from>
    <xdr:to>
      <xdr:col>13</xdr:col>
      <xdr:colOff>0</xdr:colOff>
      <xdr:row>51</xdr:row>
      <xdr:rowOff>0</xdr:rowOff>
    </xdr:to>
    <xdr:sp macro="" textlink="">
      <xdr:nvSpPr>
        <xdr:cNvPr id="1036" name="Rectangle 1035">
          <a:extLst>
            <a:ext uri="{FF2B5EF4-FFF2-40B4-BE49-F238E27FC236}">
              <a16:creationId xmlns:a16="http://schemas.microsoft.com/office/drawing/2014/main" id="{9244F365-54C0-4710-928A-9160BB988A7E}"/>
            </a:ext>
          </a:extLst>
        </xdr:cNvPr>
        <xdr:cNvSpPr/>
      </xdr:nvSpPr>
      <xdr:spPr>
        <a:xfrm>
          <a:off x="392546" y="9236364"/>
          <a:ext cx="4710545" cy="184727"/>
        </a:xfrm>
        <a:prstGeom prst="rect">
          <a:avLst/>
        </a:prstGeom>
        <a:ln>
          <a:noFill/>
        </a:ln>
        <a:effectLst>
          <a:outerShdw blurRad="63500" algn="ctr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en-US" sz="1100" b="1"/>
        </a:p>
      </xdr:txBody>
    </xdr:sp>
    <xdr:clientData/>
  </xdr:twoCellAnchor>
  <xdr:twoCellAnchor>
    <xdr:from>
      <xdr:col>1</xdr:col>
      <xdr:colOff>0</xdr:colOff>
      <xdr:row>17</xdr:row>
      <xdr:rowOff>169347</xdr:rowOff>
    </xdr:from>
    <xdr:to>
      <xdr:col>8</xdr:col>
      <xdr:colOff>398318</xdr:colOff>
      <xdr:row>31</xdr:row>
      <xdr:rowOff>181840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5D620F0D-3F03-4342-AC48-43386A4AF9E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10</xdr:col>
      <xdr:colOff>0</xdr:colOff>
      <xdr:row>18</xdr:row>
      <xdr:rowOff>0</xdr:rowOff>
    </xdr:from>
    <xdr:to>
      <xdr:col>18</xdr:col>
      <xdr:colOff>0</xdr:colOff>
      <xdr:row>32</xdr:row>
      <xdr:rowOff>0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7F721EA9-35E2-43CA-8298-E937E12C1BA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19</xdr:col>
      <xdr:colOff>0</xdr:colOff>
      <xdr:row>18</xdr:row>
      <xdr:rowOff>0</xdr:rowOff>
    </xdr:from>
    <xdr:to>
      <xdr:col>26</xdr:col>
      <xdr:colOff>398317</xdr:colOff>
      <xdr:row>32</xdr:row>
      <xdr:rowOff>0</xdr:rowOff>
    </xdr:to>
    <xdr:graphicFrame macro="">
      <xdr:nvGraphicFramePr>
        <xdr:cNvPr id="8" name="Chart 7">
          <a:extLst>
            <a:ext uri="{FF2B5EF4-FFF2-40B4-BE49-F238E27FC236}">
              <a16:creationId xmlns:a16="http://schemas.microsoft.com/office/drawing/2014/main" id="{D2B94319-EC0E-4CC0-8B22-8557C44A2DF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</xdr:col>
      <xdr:colOff>0</xdr:colOff>
      <xdr:row>52</xdr:row>
      <xdr:rowOff>0</xdr:rowOff>
    </xdr:from>
    <xdr:to>
      <xdr:col>27</xdr:col>
      <xdr:colOff>0</xdr:colOff>
      <xdr:row>68</xdr:row>
      <xdr:rowOff>0</xdr:rowOff>
    </xdr:to>
    <xdr:graphicFrame macro="">
      <xdr:nvGraphicFramePr>
        <xdr:cNvPr id="9" name="Chart 8">
          <a:extLst>
            <a:ext uri="{FF2B5EF4-FFF2-40B4-BE49-F238E27FC236}">
              <a16:creationId xmlns:a16="http://schemas.microsoft.com/office/drawing/2014/main" id="{D605A488-7C5D-49E5-A0B5-BC767189642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19</xdr:col>
      <xdr:colOff>1</xdr:colOff>
      <xdr:row>34</xdr:row>
      <xdr:rowOff>1</xdr:rowOff>
    </xdr:from>
    <xdr:to>
      <xdr:col>27</xdr:col>
      <xdr:colOff>1</xdr:colOff>
      <xdr:row>48</xdr:row>
      <xdr:rowOff>0</xdr:rowOff>
    </xdr:to>
    <xdr:graphicFrame macro="">
      <xdr:nvGraphicFramePr>
        <xdr:cNvPr id="11" name="Chart 10">
          <a:extLst>
            <a:ext uri="{FF2B5EF4-FFF2-40B4-BE49-F238E27FC236}">
              <a16:creationId xmlns:a16="http://schemas.microsoft.com/office/drawing/2014/main" id="{4CC024D6-274F-43BF-BFD7-7B40DF85443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</xdr:col>
      <xdr:colOff>0</xdr:colOff>
      <xdr:row>33</xdr:row>
      <xdr:rowOff>174432</xdr:rowOff>
    </xdr:from>
    <xdr:to>
      <xdr:col>9</xdr:col>
      <xdr:colOff>0</xdr:colOff>
      <xdr:row>48</xdr:row>
      <xdr:rowOff>0</xdr:rowOff>
    </xdr:to>
    <xdr:graphicFrame macro="">
      <xdr:nvGraphicFramePr>
        <xdr:cNvPr id="13" name="Chart 12">
          <a:extLst>
            <a:ext uri="{FF2B5EF4-FFF2-40B4-BE49-F238E27FC236}">
              <a16:creationId xmlns:a16="http://schemas.microsoft.com/office/drawing/2014/main" id="{B1BBB7F0-370F-4542-8C29-BAAD058E1E2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10</xdr:col>
      <xdr:colOff>0</xdr:colOff>
      <xdr:row>39</xdr:row>
      <xdr:rowOff>0</xdr:rowOff>
    </xdr:from>
    <xdr:to>
      <xdr:col>18</xdr:col>
      <xdr:colOff>0</xdr:colOff>
      <xdr:row>43</xdr:row>
      <xdr:rowOff>0</xdr:rowOff>
    </xdr:to>
    <xdr:sp macro="" textlink="">
      <xdr:nvSpPr>
        <xdr:cNvPr id="16" name="Rectangle: Rounded Corners 15">
          <a:extLst>
            <a:ext uri="{FF2B5EF4-FFF2-40B4-BE49-F238E27FC236}">
              <a16:creationId xmlns:a16="http://schemas.microsoft.com/office/drawing/2014/main" id="{46322465-522F-BE49-9DAE-E9D3694B0A14}"/>
            </a:ext>
          </a:extLst>
        </xdr:cNvPr>
        <xdr:cNvSpPr/>
      </xdr:nvSpPr>
      <xdr:spPr>
        <a:xfrm>
          <a:off x="3987209" y="4651744"/>
          <a:ext cx="3189768" cy="744279"/>
        </a:xfrm>
        <a:prstGeom prst="roundRect">
          <a:avLst/>
        </a:prstGeom>
        <a:ln>
          <a:noFill/>
        </a:ln>
        <a:effectLst>
          <a:outerShdw blurRad="63500" algn="ctr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endParaRPr lang="en-US" sz="2000" b="1">
            <a:solidFill>
              <a:schemeClr val="lt1"/>
            </a:solidFill>
            <a:latin typeface="+mn-lt"/>
            <a:ea typeface="+mn-ea"/>
            <a:cs typeface="+mn-cs"/>
          </a:endParaRPr>
        </a:p>
        <a:p>
          <a:pPr marL="0" indent="0" algn="ctr"/>
          <a:r>
            <a:rPr lang="en-US" sz="1400" b="1">
              <a:solidFill>
                <a:schemeClr val="lt1"/>
              </a:solidFill>
              <a:latin typeface="+mn-lt"/>
              <a:ea typeface="+mn-ea"/>
              <a:cs typeface="+mn-cs"/>
            </a:rPr>
            <a:t>of sites needed to cure question #23.</a:t>
          </a:r>
        </a:p>
      </xdr:txBody>
    </xdr:sp>
    <xdr:clientData/>
  </xdr:twoCellAnchor>
  <xdr:twoCellAnchor>
    <xdr:from>
      <xdr:col>10</xdr:col>
      <xdr:colOff>0</xdr:colOff>
      <xdr:row>44</xdr:row>
      <xdr:rowOff>0</xdr:rowOff>
    </xdr:from>
    <xdr:to>
      <xdr:col>18</xdr:col>
      <xdr:colOff>0</xdr:colOff>
      <xdr:row>48</xdr:row>
      <xdr:rowOff>0</xdr:rowOff>
    </xdr:to>
    <xdr:sp macro="" textlink="">
      <xdr:nvSpPr>
        <xdr:cNvPr id="17" name="Rectangle: Rounded Corners 16">
          <a:extLst>
            <a:ext uri="{FF2B5EF4-FFF2-40B4-BE49-F238E27FC236}">
              <a16:creationId xmlns:a16="http://schemas.microsoft.com/office/drawing/2014/main" id="{D5161E84-3FE7-E3DD-8011-5555C4892113}"/>
            </a:ext>
          </a:extLst>
        </xdr:cNvPr>
        <xdr:cNvSpPr/>
      </xdr:nvSpPr>
      <xdr:spPr>
        <a:xfrm>
          <a:off x="3987209" y="5582093"/>
          <a:ext cx="3189768" cy="744279"/>
        </a:xfrm>
        <a:prstGeom prst="roundRect">
          <a:avLst/>
        </a:prstGeom>
        <a:ln>
          <a:noFill/>
        </a:ln>
        <a:effectLst>
          <a:outerShdw blurRad="63500" algn="ctr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1600" b="1">
              <a:solidFill>
                <a:schemeClr val="lt1"/>
              </a:solidFill>
              <a:latin typeface="+mn-lt"/>
              <a:ea typeface="+mn-ea"/>
              <a:cs typeface="+mn-cs"/>
            </a:rPr>
            <a:t>Question #23 is for missing or incorrect brochures.</a:t>
          </a:r>
        </a:p>
      </xdr:txBody>
    </xdr:sp>
    <xdr:clientData/>
  </xdr:twoCellAnchor>
  <xdr:twoCellAnchor>
    <xdr:from>
      <xdr:col>10</xdr:col>
      <xdr:colOff>0</xdr:colOff>
      <xdr:row>33</xdr:row>
      <xdr:rowOff>180257</xdr:rowOff>
    </xdr:from>
    <xdr:to>
      <xdr:col>18</xdr:col>
      <xdr:colOff>0</xdr:colOff>
      <xdr:row>38</xdr:row>
      <xdr:rowOff>0</xdr:rowOff>
    </xdr:to>
    <xdr:grpSp>
      <xdr:nvGrpSpPr>
        <xdr:cNvPr id="59" name="Group 58">
          <a:extLst>
            <a:ext uri="{FF2B5EF4-FFF2-40B4-BE49-F238E27FC236}">
              <a16:creationId xmlns:a16="http://schemas.microsoft.com/office/drawing/2014/main" id="{CEB0E917-44D1-C20B-9159-36F84852436D}"/>
            </a:ext>
          </a:extLst>
        </xdr:cNvPr>
        <xdr:cNvGrpSpPr/>
      </xdr:nvGrpSpPr>
      <xdr:grpSpPr>
        <a:xfrm>
          <a:off x="4005385" y="6305565"/>
          <a:ext cx="3204307" cy="747820"/>
          <a:chOff x="3932903" y="6128773"/>
          <a:chExt cx="3146323" cy="721033"/>
        </a:xfrm>
      </xdr:grpSpPr>
      <xdr:sp macro="" textlink="">
        <xdr:nvSpPr>
          <xdr:cNvPr id="15" name="Rectangle: Rounded Corners 14">
            <a:extLst>
              <a:ext uri="{FF2B5EF4-FFF2-40B4-BE49-F238E27FC236}">
                <a16:creationId xmlns:a16="http://schemas.microsoft.com/office/drawing/2014/main" id="{EF45D75F-BA6C-A8F5-9B11-0C515A5F2CE3}"/>
              </a:ext>
            </a:extLst>
          </xdr:cNvPr>
          <xdr:cNvSpPr/>
        </xdr:nvSpPr>
        <xdr:spPr>
          <a:xfrm>
            <a:off x="3932903" y="6128774"/>
            <a:ext cx="3146323" cy="721032"/>
          </a:xfrm>
          <a:prstGeom prst="roundRect">
            <a:avLst/>
          </a:prstGeom>
          <a:ln>
            <a:noFill/>
          </a:ln>
          <a:effectLst>
            <a:outerShdw blurRad="63500" algn="ctr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marL="0" indent="0" algn="ctr"/>
            <a:endParaRPr lang="en-US" sz="1800" b="1">
              <a:solidFill>
                <a:schemeClr val="lt1"/>
              </a:solidFill>
              <a:latin typeface="+mn-lt"/>
              <a:ea typeface="+mn-ea"/>
              <a:cs typeface="+mn-cs"/>
            </a:endParaRPr>
          </a:p>
          <a:p>
            <a:pPr marL="0" indent="0" algn="ctr"/>
            <a:r>
              <a:rPr lang="en-US" sz="1400" b="1">
                <a:solidFill>
                  <a:schemeClr val="lt1"/>
                </a:solidFill>
                <a:latin typeface="+mn-lt"/>
                <a:ea typeface="+mn-ea"/>
                <a:cs typeface="+mn-cs"/>
              </a:rPr>
              <a:t>of all curable questions were #23.</a:t>
            </a:r>
          </a:p>
        </xdr:txBody>
      </xdr:sp>
      <xdr:sp macro="" textlink="Calculations!B68">
        <xdr:nvSpPr>
          <xdr:cNvPr id="57" name="TextBox 56">
            <a:extLst>
              <a:ext uri="{FF2B5EF4-FFF2-40B4-BE49-F238E27FC236}">
                <a16:creationId xmlns:a16="http://schemas.microsoft.com/office/drawing/2014/main" id="{92BDB789-970D-2A81-9BA3-C3FD89E5CC63}"/>
              </a:ext>
            </a:extLst>
          </xdr:cNvPr>
          <xdr:cNvSpPr txBox="1"/>
        </xdr:nvSpPr>
        <xdr:spPr>
          <a:xfrm>
            <a:off x="4326194" y="6128773"/>
            <a:ext cx="2359741" cy="45064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b"/>
          <a:lstStyle/>
          <a:p>
            <a:pPr algn="ctr"/>
            <a:fld id="{6C8C31D4-8C64-4A87-AD19-45233541324A}" type="TxLink">
              <a:rPr lang="en-US" sz="2000" b="1" i="0" u="none" strike="noStrike">
                <a:solidFill>
                  <a:srgbClr val="FFFFFF"/>
                </a:solidFill>
                <a:latin typeface="Calibri"/>
                <a:ea typeface="Calibri"/>
                <a:cs typeface="Calibri"/>
              </a:rPr>
              <a:pPr algn="ctr"/>
              <a:t>34.3%</a:t>
            </a:fld>
            <a:endParaRPr lang="en-US" sz="1100"/>
          </a:p>
        </xdr:txBody>
      </xdr:sp>
    </xdr:grpSp>
    <xdr:clientData/>
  </xdr:twoCellAnchor>
  <xdr:twoCellAnchor>
    <xdr:from>
      <xdr:col>11</xdr:col>
      <xdr:colOff>0</xdr:colOff>
      <xdr:row>39</xdr:row>
      <xdr:rowOff>-1</xdr:rowOff>
    </xdr:from>
    <xdr:to>
      <xdr:col>17</xdr:col>
      <xdr:colOff>0</xdr:colOff>
      <xdr:row>41</xdr:row>
      <xdr:rowOff>90128</xdr:rowOff>
    </xdr:to>
    <xdr:sp macro="" textlink="Calculations!B69">
      <xdr:nvSpPr>
        <xdr:cNvPr id="58" name="TextBox 57">
          <a:extLst>
            <a:ext uri="{FF2B5EF4-FFF2-40B4-BE49-F238E27FC236}">
              <a16:creationId xmlns:a16="http://schemas.microsoft.com/office/drawing/2014/main" id="{7010A7AC-D566-9EDE-6C4F-0C8AF6C50787}"/>
            </a:ext>
          </a:extLst>
        </xdr:cNvPr>
        <xdr:cNvSpPr txBox="1"/>
      </xdr:nvSpPr>
      <xdr:spPr>
        <a:xfrm>
          <a:off x="4326194" y="7030064"/>
          <a:ext cx="2359741" cy="45064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b"/>
        <a:lstStyle/>
        <a:p>
          <a:pPr algn="ctr"/>
          <a:fld id="{023183EC-2574-45AD-9E21-04DEEFDB3B8A}" type="TxLink">
            <a:rPr lang="en-US" sz="2000" b="1" i="0" u="none" strike="noStrike">
              <a:solidFill>
                <a:srgbClr val="FFFFFF"/>
              </a:solidFill>
              <a:latin typeface="Calibri"/>
              <a:ea typeface="Calibri"/>
              <a:cs typeface="Calibri"/>
            </a:rPr>
            <a:pPr algn="ctr"/>
            <a:t>60.0%</a:t>
          </a:fld>
          <a:endParaRPr lang="en-US" sz="1100"/>
        </a:p>
      </xdr:txBody>
    </xdr:sp>
    <xdr:clientData/>
  </xdr:twoCellAnchor>
  <xdr:twoCellAnchor>
    <xdr:from>
      <xdr:col>1</xdr:col>
      <xdr:colOff>0</xdr:colOff>
      <xdr:row>12</xdr:row>
      <xdr:rowOff>0</xdr:rowOff>
    </xdr:from>
    <xdr:to>
      <xdr:col>9</xdr:col>
      <xdr:colOff>0</xdr:colOff>
      <xdr:row>16</xdr:row>
      <xdr:rowOff>1</xdr:rowOff>
    </xdr:to>
    <xdr:grpSp>
      <xdr:nvGrpSpPr>
        <xdr:cNvPr id="60" name="Group 59">
          <a:extLst>
            <a:ext uri="{FF2B5EF4-FFF2-40B4-BE49-F238E27FC236}">
              <a16:creationId xmlns:a16="http://schemas.microsoft.com/office/drawing/2014/main" id="{FF9C35C4-DA31-4687-9730-75B62AB9C4A9}"/>
            </a:ext>
          </a:extLst>
        </xdr:cNvPr>
        <xdr:cNvGrpSpPr/>
      </xdr:nvGrpSpPr>
      <xdr:grpSpPr>
        <a:xfrm>
          <a:off x="400538" y="2227385"/>
          <a:ext cx="3204308" cy="742462"/>
          <a:chOff x="3932903" y="6128773"/>
          <a:chExt cx="3146323" cy="721033"/>
        </a:xfrm>
      </xdr:grpSpPr>
      <xdr:sp macro="" textlink="">
        <xdr:nvSpPr>
          <xdr:cNvPr id="61" name="Rectangle: Rounded Corners 60">
            <a:extLst>
              <a:ext uri="{FF2B5EF4-FFF2-40B4-BE49-F238E27FC236}">
                <a16:creationId xmlns:a16="http://schemas.microsoft.com/office/drawing/2014/main" id="{1E01FF5A-843C-86C9-DA4B-51B1ACAEBF91}"/>
              </a:ext>
            </a:extLst>
          </xdr:cNvPr>
          <xdr:cNvSpPr/>
        </xdr:nvSpPr>
        <xdr:spPr>
          <a:xfrm>
            <a:off x="3932903" y="6128774"/>
            <a:ext cx="3146323" cy="721032"/>
          </a:xfrm>
          <a:prstGeom prst="roundRect">
            <a:avLst/>
          </a:prstGeom>
          <a:ln>
            <a:noFill/>
          </a:ln>
          <a:effectLst>
            <a:outerShdw blurRad="63500" algn="ctr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marL="0" indent="0" algn="ctr"/>
            <a:endParaRPr lang="en-US" sz="1800" b="1">
              <a:solidFill>
                <a:schemeClr val="lt1"/>
              </a:solidFill>
              <a:latin typeface="+mn-lt"/>
              <a:ea typeface="+mn-ea"/>
              <a:cs typeface="+mn-cs"/>
            </a:endParaRPr>
          </a:p>
          <a:p>
            <a:pPr marL="0" indent="0" algn="ctr"/>
            <a:r>
              <a:rPr lang="en-US" sz="1400" b="1">
                <a:solidFill>
                  <a:schemeClr val="lt1"/>
                </a:solidFill>
                <a:latin typeface="+mn-lt"/>
                <a:ea typeface="+mn-ea"/>
                <a:cs typeface="+mn-cs"/>
              </a:rPr>
              <a:t>final score</a:t>
            </a:r>
          </a:p>
        </xdr:txBody>
      </xdr:sp>
      <xdr:sp macro="" textlink="Calculations!B61">
        <xdr:nvSpPr>
          <xdr:cNvPr id="62" name="TextBox 61">
            <a:extLst>
              <a:ext uri="{FF2B5EF4-FFF2-40B4-BE49-F238E27FC236}">
                <a16:creationId xmlns:a16="http://schemas.microsoft.com/office/drawing/2014/main" id="{E50C1341-71E2-8EB8-9225-5E68CFA935E9}"/>
              </a:ext>
            </a:extLst>
          </xdr:cNvPr>
          <xdr:cNvSpPr txBox="1"/>
        </xdr:nvSpPr>
        <xdr:spPr>
          <a:xfrm>
            <a:off x="4326194" y="6128773"/>
            <a:ext cx="2359741" cy="45064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b"/>
          <a:lstStyle/>
          <a:p>
            <a:pPr algn="ctr"/>
            <a:fld id="{CAB8484F-95D1-4B17-A9A9-1210C72F4F6A}" type="TxLink">
              <a:rPr lang="en-US" sz="2000" b="1" i="0" u="none" strike="noStrike">
                <a:solidFill>
                  <a:srgbClr val="FFFFFF"/>
                </a:solidFill>
                <a:latin typeface="Calibri"/>
                <a:ea typeface="Calibri"/>
                <a:cs typeface="Calibri"/>
              </a:rPr>
              <a:pPr algn="ctr"/>
              <a:t>91.5%</a:t>
            </a:fld>
            <a:endParaRPr lang="en-US" sz="1100"/>
          </a:p>
        </xdr:txBody>
      </xdr:sp>
    </xdr:grpSp>
    <xdr:clientData/>
  </xdr:twoCellAnchor>
  <xdr:twoCellAnchor>
    <xdr:from>
      <xdr:col>10</xdr:col>
      <xdr:colOff>0</xdr:colOff>
      <xdr:row>12</xdr:row>
      <xdr:rowOff>0</xdr:rowOff>
    </xdr:from>
    <xdr:to>
      <xdr:col>18</xdr:col>
      <xdr:colOff>0</xdr:colOff>
      <xdr:row>16</xdr:row>
      <xdr:rowOff>1</xdr:rowOff>
    </xdr:to>
    <xdr:grpSp>
      <xdr:nvGrpSpPr>
        <xdr:cNvPr id="63" name="Group 62">
          <a:extLst>
            <a:ext uri="{FF2B5EF4-FFF2-40B4-BE49-F238E27FC236}">
              <a16:creationId xmlns:a16="http://schemas.microsoft.com/office/drawing/2014/main" id="{2AA91F84-1F3C-44EB-98F9-0D3BC1962306}"/>
            </a:ext>
          </a:extLst>
        </xdr:cNvPr>
        <xdr:cNvGrpSpPr/>
      </xdr:nvGrpSpPr>
      <xdr:grpSpPr>
        <a:xfrm>
          <a:off x="4005385" y="2227385"/>
          <a:ext cx="3204307" cy="742462"/>
          <a:chOff x="3932903" y="6128773"/>
          <a:chExt cx="3146323" cy="721033"/>
        </a:xfrm>
      </xdr:grpSpPr>
      <xdr:sp macro="" textlink="">
        <xdr:nvSpPr>
          <xdr:cNvPr id="1024" name="Rectangle: Rounded Corners 1023">
            <a:extLst>
              <a:ext uri="{FF2B5EF4-FFF2-40B4-BE49-F238E27FC236}">
                <a16:creationId xmlns:a16="http://schemas.microsoft.com/office/drawing/2014/main" id="{DFEBBB16-12C0-5275-9CC0-EE809E198FB0}"/>
              </a:ext>
            </a:extLst>
          </xdr:cNvPr>
          <xdr:cNvSpPr/>
        </xdr:nvSpPr>
        <xdr:spPr>
          <a:xfrm>
            <a:off x="3932903" y="6128774"/>
            <a:ext cx="3146323" cy="721032"/>
          </a:xfrm>
          <a:prstGeom prst="roundRect">
            <a:avLst/>
          </a:prstGeom>
          <a:ln>
            <a:noFill/>
          </a:ln>
          <a:effectLst>
            <a:outerShdw blurRad="63500" algn="ctr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marL="0" indent="0" algn="ctr"/>
            <a:endParaRPr lang="en-US" sz="1800" b="1">
              <a:solidFill>
                <a:schemeClr val="lt1"/>
              </a:solidFill>
              <a:latin typeface="+mn-lt"/>
              <a:ea typeface="+mn-ea"/>
              <a:cs typeface="+mn-cs"/>
            </a:endParaRPr>
          </a:p>
          <a:p>
            <a:pPr marL="0" indent="0" algn="ctr"/>
            <a:r>
              <a:rPr lang="en-US" sz="1400" b="1">
                <a:solidFill>
                  <a:schemeClr val="lt1"/>
                </a:solidFill>
                <a:latin typeface="+mn-lt"/>
                <a:ea typeface="+mn-ea"/>
                <a:cs typeface="+mn-cs"/>
              </a:rPr>
              <a:t>total questions cured</a:t>
            </a:r>
          </a:p>
        </xdr:txBody>
      </xdr:sp>
      <xdr:sp macro="" textlink="Calculations!B62">
        <xdr:nvSpPr>
          <xdr:cNvPr id="1027" name="TextBox 1026">
            <a:extLst>
              <a:ext uri="{FF2B5EF4-FFF2-40B4-BE49-F238E27FC236}">
                <a16:creationId xmlns:a16="http://schemas.microsoft.com/office/drawing/2014/main" id="{33A8F4A1-EE4C-24C3-3FDF-CDED8D97BC08}"/>
              </a:ext>
            </a:extLst>
          </xdr:cNvPr>
          <xdr:cNvSpPr txBox="1"/>
        </xdr:nvSpPr>
        <xdr:spPr>
          <a:xfrm>
            <a:off x="4326194" y="6128773"/>
            <a:ext cx="2359741" cy="45064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b"/>
          <a:lstStyle/>
          <a:p>
            <a:pPr algn="ctr"/>
            <a:fld id="{C35B006B-861F-4421-BC5C-03D68DD3B824}" type="TxLink">
              <a:rPr lang="en-US" sz="2000" b="1" i="0" u="none" strike="noStrike">
                <a:solidFill>
                  <a:srgbClr val="FFFFFF"/>
                </a:solidFill>
                <a:latin typeface="Calibri"/>
                <a:ea typeface="Calibri"/>
                <a:cs typeface="Calibri"/>
              </a:rPr>
              <a:pPr algn="ctr"/>
              <a:t>19</a:t>
            </a:fld>
            <a:endParaRPr lang="en-US" sz="1100"/>
          </a:p>
        </xdr:txBody>
      </xdr:sp>
    </xdr:grpSp>
    <xdr:clientData/>
  </xdr:twoCellAnchor>
  <xdr:twoCellAnchor>
    <xdr:from>
      <xdr:col>19</xdr:col>
      <xdr:colOff>0</xdr:colOff>
      <xdr:row>12</xdr:row>
      <xdr:rowOff>0</xdr:rowOff>
    </xdr:from>
    <xdr:to>
      <xdr:col>27</xdr:col>
      <xdr:colOff>0</xdr:colOff>
      <xdr:row>16</xdr:row>
      <xdr:rowOff>1</xdr:rowOff>
    </xdr:to>
    <xdr:grpSp>
      <xdr:nvGrpSpPr>
        <xdr:cNvPr id="1028" name="Group 1027">
          <a:extLst>
            <a:ext uri="{FF2B5EF4-FFF2-40B4-BE49-F238E27FC236}">
              <a16:creationId xmlns:a16="http://schemas.microsoft.com/office/drawing/2014/main" id="{F1717087-F2C7-4DA5-92F4-695D2BB681A7}"/>
            </a:ext>
          </a:extLst>
        </xdr:cNvPr>
        <xdr:cNvGrpSpPr/>
      </xdr:nvGrpSpPr>
      <xdr:grpSpPr>
        <a:xfrm>
          <a:off x="7610231" y="2227385"/>
          <a:ext cx="3204307" cy="742462"/>
          <a:chOff x="3932903" y="6128773"/>
          <a:chExt cx="3146323" cy="721033"/>
        </a:xfrm>
      </xdr:grpSpPr>
      <xdr:sp macro="" textlink="Calculations!B64">
        <xdr:nvSpPr>
          <xdr:cNvPr id="1029" name="Rectangle: Rounded Corners 1028">
            <a:extLst>
              <a:ext uri="{FF2B5EF4-FFF2-40B4-BE49-F238E27FC236}">
                <a16:creationId xmlns:a16="http://schemas.microsoft.com/office/drawing/2014/main" id="{A9547328-47CB-08A4-47BD-7B82850537B5}"/>
              </a:ext>
            </a:extLst>
          </xdr:cNvPr>
          <xdr:cNvSpPr/>
        </xdr:nvSpPr>
        <xdr:spPr>
          <a:xfrm>
            <a:off x="3932903" y="6128774"/>
            <a:ext cx="3146323" cy="721032"/>
          </a:xfrm>
          <a:prstGeom prst="roundRect">
            <a:avLst/>
          </a:prstGeom>
          <a:ln>
            <a:noFill/>
          </a:ln>
          <a:effectLst>
            <a:outerShdw blurRad="63500" algn="ctr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marL="0" indent="0" algn="ctr"/>
            <a:fld id="{0FAB88BC-D32E-4482-A725-B05FAA6AD4E6}" type="TxLink">
              <a:rPr lang="en-US" sz="1600" b="1" i="0" u="none" strike="noStrike">
                <a:solidFill>
                  <a:srgbClr val="FFFFFF"/>
                </a:solidFill>
                <a:latin typeface="Calibri"/>
                <a:ea typeface="Calibri"/>
                <a:cs typeface="Calibri"/>
              </a:rPr>
              <a:pPr marL="0" indent="0" algn="ctr"/>
              <a:t>
sites pushed to passing</a:t>
            </a:fld>
            <a:endParaRPr lang="en-US" sz="1400" b="1">
              <a:solidFill>
                <a:schemeClr val="lt1"/>
              </a:solidFill>
              <a:latin typeface="+mn-lt"/>
              <a:ea typeface="+mn-ea"/>
              <a:cs typeface="+mn-cs"/>
            </a:endParaRPr>
          </a:p>
        </xdr:txBody>
      </xdr:sp>
      <xdr:sp macro="" textlink="Calculations!B63">
        <xdr:nvSpPr>
          <xdr:cNvPr id="1030" name="TextBox 1029">
            <a:extLst>
              <a:ext uri="{FF2B5EF4-FFF2-40B4-BE49-F238E27FC236}">
                <a16:creationId xmlns:a16="http://schemas.microsoft.com/office/drawing/2014/main" id="{63C78D0D-B760-C26D-A7D7-D3E07CF4E574}"/>
              </a:ext>
            </a:extLst>
          </xdr:cNvPr>
          <xdr:cNvSpPr txBox="1"/>
        </xdr:nvSpPr>
        <xdr:spPr>
          <a:xfrm>
            <a:off x="4326194" y="6128773"/>
            <a:ext cx="2359741" cy="45064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b"/>
          <a:lstStyle/>
          <a:p>
            <a:pPr algn="ctr"/>
            <a:fld id="{7D46C30E-D73F-4B57-B7CF-3BEA1D161CE2}" type="TxLink">
              <a:rPr lang="en-US" sz="2000" b="1" i="0" u="none" strike="noStrike">
                <a:solidFill>
                  <a:srgbClr val="FFFFFF"/>
                </a:solidFill>
                <a:latin typeface="Calibri"/>
                <a:ea typeface="Calibri"/>
                <a:cs typeface="Calibri"/>
              </a:rPr>
              <a:pPr algn="ctr"/>
              <a:t>2</a:t>
            </a:fld>
            <a:endParaRPr lang="en-US" sz="1100"/>
          </a:p>
        </xdr:txBody>
      </xdr:sp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50</xdr:row>
          <xdr:rowOff>0</xdr:rowOff>
        </xdr:from>
        <xdr:to>
          <xdr:col>12</xdr:col>
          <xdr:colOff>396240</xdr:colOff>
          <xdr:row>51</xdr:row>
          <xdr:rowOff>0</xdr:rowOff>
        </xdr:to>
        <xdr:sp macro="" textlink="">
          <xdr:nvSpPr>
            <xdr:cNvPr id="3" name="cbData1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30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000000"/>
                    </a:outerShdw>
                  </a:effectLst>
                </a14:hiddenEffects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20</xdr:col>
          <xdr:colOff>0</xdr:colOff>
          <xdr:row>50</xdr:row>
          <xdr:rowOff>0</xdr:rowOff>
        </xdr:from>
        <xdr:to>
          <xdr:col>27</xdr:col>
          <xdr:colOff>0</xdr:colOff>
          <xdr:row>51</xdr:row>
          <xdr:rowOff>0</xdr:rowOff>
        </xdr:to>
        <xdr:sp macro="" textlink="">
          <xdr:nvSpPr>
            <xdr:cNvPr id="2" name="cbData2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20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000000"/>
                    </a:outerShdw>
                  </a:effectLst>
                </a14:hiddenEffects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xdr:twoCellAnchor>
    <xdr:from>
      <xdr:col>1</xdr:col>
      <xdr:colOff>1</xdr:colOff>
      <xdr:row>50</xdr:row>
      <xdr:rowOff>0</xdr:rowOff>
    </xdr:from>
    <xdr:to>
      <xdr:col>6</xdr:col>
      <xdr:colOff>1</xdr:colOff>
      <xdr:row>51</xdr:row>
      <xdr:rowOff>0</xdr:rowOff>
    </xdr:to>
    <xdr:sp macro="" textlink="">
      <xdr:nvSpPr>
        <xdr:cNvPr id="1035" name="Rectangle 1034">
          <a:extLst>
            <a:ext uri="{FF2B5EF4-FFF2-40B4-BE49-F238E27FC236}">
              <a16:creationId xmlns:a16="http://schemas.microsoft.com/office/drawing/2014/main" id="{5CF46599-2B02-407E-8486-B1336BAF816E}"/>
            </a:ext>
          </a:extLst>
        </xdr:cNvPr>
        <xdr:cNvSpPr/>
      </xdr:nvSpPr>
      <xdr:spPr>
        <a:xfrm>
          <a:off x="398805" y="9443103"/>
          <a:ext cx="1994018" cy="185159"/>
        </a:xfrm>
        <a:prstGeom prst="rect">
          <a:avLst/>
        </a:prstGeom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/>
            <a:t>Select Data for Bar 1</a:t>
          </a:r>
        </a:p>
      </xdr:txBody>
    </xdr:sp>
    <xdr:clientData/>
  </xdr:twoCellAnchor>
  <xdr:twoCellAnchor>
    <xdr:from>
      <xdr:col>15</xdr:col>
      <xdr:colOff>0</xdr:colOff>
      <xdr:row>50</xdr:row>
      <xdr:rowOff>0</xdr:rowOff>
    </xdr:from>
    <xdr:to>
      <xdr:col>20</xdr:col>
      <xdr:colOff>0</xdr:colOff>
      <xdr:row>51</xdr:row>
      <xdr:rowOff>0</xdr:rowOff>
    </xdr:to>
    <xdr:sp macro="" textlink="">
      <xdr:nvSpPr>
        <xdr:cNvPr id="1038" name="Rectangle 1037">
          <a:extLst>
            <a:ext uri="{FF2B5EF4-FFF2-40B4-BE49-F238E27FC236}">
              <a16:creationId xmlns:a16="http://schemas.microsoft.com/office/drawing/2014/main" id="{849415FF-5A31-4DD9-978B-446B0B088061}"/>
            </a:ext>
          </a:extLst>
        </xdr:cNvPr>
        <xdr:cNvSpPr/>
      </xdr:nvSpPr>
      <xdr:spPr>
        <a:xfrm>
          <a:off x="5888182" y="9236364"/>
          <a:ext cx="1962727" cy="184727"/>
        </a:xfrm>
        <a:prstGeom prst="rect">
          <a:avLst/>
        </a:prstGeom>
        <a:solidFill>
          <a:schemeClr val="accent2"/>
        </a:solidFill>
        <a:ln>
          <a:noFill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/>
            <a:t>Selec</a:t>
          </a:r>
          <a:r>
            <a:rPr lang="en-US" sz="1100" b="1" baseline="0"/>
            <a:t>t Data for Bar 2</a:t>
          </a:r>
          <a:endParaRPr lang="en-US" sz="1100" b="1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3</xdr:row>
          <xdr:rowOff>0</xdr:rowOff>
        </xdr:from>
        <xdr:to>
          <xdr:col>10</xdr:col>
          <xdr:colOff>0</xdr:colOff>
          <xdr:row>6</xdr:row>
          <xdr:rowOff>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2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Resort Table</a:t>
              </a:r>
            </a:p>
          </xdr:txBody>
        </xdr:sp>
        <xdr:clientData fPrintsWithSheet="0"/>
      </xdr:twoCellAnchor>
    </mc:Choice>
    <mc:Fallback/>
  </mc:AlternateContent>
</xdr:wsDr>
</file>

<file path=xl/featurePropertyBag/featurePropertyBag.xml><?xml version="1.0" encoding="utf-8"?>
<FeaturePropertyBags xmlns="http://schemas.microsoft.com/office/spreadsheetml/2022/featurepropertybag">
  <bag type="Checkbox"/>
  <bag type="XFControls">
    <bagId k="CellControl">0</bagId>
  </bag>
  <bag type="XFComplement">
    <bagId k="XFControls">1</bagId>
  </bag>
  <bag type="XFComplements" extRef="XFComplementsMapperExtRef">
    <a k="MappedFeaturePropertyBags">
      <bagId>2</bagId>
    </a>
  </bag>
</FeaturePropertyBags>
</file>

<file path=xl/persons/person.xml><?xml version="1.0" encoding="utf-8"?>
<personList xmlns="http://schemas.microsoft.com/office/spreadsheetml/2018/threadedcomments" xmlns:x="http://schemas.openxmlformats.org/spreadsheetml/2006/main"/>
</file>

<file path=xl/theme/theme1.xml><?xml version="1.0" encoding="utf-8"?>
<a:theme xmlns:a="http://schemas.openxmlformats.org/drawingml/2006/main" name="Office Theme">
  <a:themeElements>
    <a:clrScheme name="BP Them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00A650"/>
      </a:accent1>
      <a:accent2>
        <a:srgbClr val="FFD903"/>
      </a:accent2>
      <a:accent3>
        <a:srgbClr val="80C242"/>
      </a:accent3>
      <a:accent4>
        <a:srgbClr val="FFC000"/>
      </a:accent4>
      <a:accent5>
        <a:srgbClr val="4472C4"/>
      </a:accent5>
      <a:accent6>
        <a:srgbClr val="B4B4B4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F080655-264C-4769-B919-F095DCC83EF5}">
  <sheetPr codeName="Sheet1">
    <pageSetUpPr fitToPage="1"/>
  </sheetPr>
  <dimension ref="B3:AA52"/>
  <sheetViews>
    <sheetView showGridLines="0" tabSelected="1" zoomScale="78" zoomScaleNormal="78" workbookViewId="0">
      <selection activeCell="N2" sqref="N2"/>
    </sheetView>
  </sheetViews>
  <sheetFormatPr defaultRowHeight="14.4" x14ac:dyDescent="0.3"/>
  <cols>
    <col min="1" max="34" width="5.77734375" style="33" customWidth="1"/>
    <col min="35" max="16384" width="8.88671875" style="33"/>
  </cols>
  <sheetData>
    <row r="3" spans="2:27" x14ac:dyDescent="0.3">
      <c r="B3" s="74" t="s">
        <v>95</v>
      </c>
      <c r="C3" s="75"/>
      <c r="D3" s="75"/>
      <c r="E3" s="75"/>
      <c r="F3" s="75"/>
      <c r="G3" s="75"/>
      <c r="H3" s="75"/>
      <c r="I3" s="75"/>
      <c r="J3" s="75"/>
      <c r="K3" s="75"/>
      <c r="L3" s="75"/>
      <c r="M3" s="75"/>
      <c r="N3" s="75"/>
      <c r="O3" s="75"/>
      <c r="P3" s="75"/>
      <c r="Q3" s="75"/>
      <c r="R3" s="75"/>
      <c r="S3" s="75"/>
      <c r="T3" s="75"/>
      <c r="U3" s="75"/>
      <c r="V3" s="75"/>
      <c r="W3" s="75"/>
      <c r="X3" s="75"/>
      <c r="Y3" s="75"/>
      <c r="Z3" s="75"/>
      <c r="AA3" s="75"/>
    </row>
    <row r="4" spans="2:27" x14ac:dyDescent="0.3">
      <c r="B4" s="75"/>
      <c r="C4" s="75"/>
      <c r="D4" s="75"/>
      <c r="E4" s="75"/>
      <c r="F4" s="75"/>
      <c r="G4" s="75"/>
      <c r="H4" s="75"/>
      <c r="I4" s="75"/>
      <c r="J4" s="75"/>
      <c r="K4" s="75"/>
      <c r="L4" s="75"/>
      <c r="M4" s="75"/>
      <c r="N4" s="75"/>
      <c r="O4" s="75"/>
      <c r="P4" s="75"/>
      <c r="Q4" s="75"/>
      <c r="R4" s="75"/>
      <c r="S4" s="75"/>
      <c r="T4" s="75"/>
      <c r="U4" s="75"/>
      <c r="V4" s="75"/>
      <c r="W4" s="75"/>
      <c r="X4" s="75"/>
      <c r="Y4" s="75"/>
      <c r="Z4" s="75"/>
      <c r="AA4" s="75"/>
    </row>
    <row r="5" spans="2:27" x14ac:dyDescent="0.3">
      <c r="B5" s="75"/>
      <c r="C5" s="75"/>
      <c r="D5" s="75"/>
      <c r="E5" s="75"/>
      <c r="F5" s="75"/>
      <c r="G5" s="75"/>
      <c r="H5" s="75"/>
      <c r="I5" s="75"/>
      <c r="J5" s="75"/>
      <c r="K5" s="75"/>
      <c r="L5" s="75"/>
      <c r="M5" s="75"/>
      <c r="N5" s="75"/>
      <c r="O5" s="75"/>
      <c r="P5" s="75"/>
      <c r="Q5" s="75"/>
      <c r="R5" s="75"/>
      <c r="S5" s="75"/>
      <c r="T5" s="75"/>
      <c r="U5" s="75"/>
      <c r="V5" s="75"/>
      <c r="W5" s="75"/>
      <c r="X5" s="75"/>
      <c r="Y5" s="75"/>
      <c r="Z5" s="75"/>
      <c r="AA5" s="75"/>
    </row>
    <row r="7" spans="2:27" x14ac:dyDescent="0.3">
      <c r="B7" s="73" t="s">
        <v>54</v>
      </c>
      <c r="C7" s="73"/>
      <c r="D7" s="73"/>
      <c r="E7" s="73"/>
      <c r="F7" s="73"/>
      <c r="G7" s="73"/>
      <c r="H7" s="73"/>
      <c r="I7" s="73"/>
      <c r="J7" s="73"/>
      <c r="K7" s="73"/>
      <c r="L7" s="73"/>
      <c r="M7" s="73"/>
      <c r="N7" s="73"/>
      <c r="O7" s="73"/>
      <c r="P7" s="73"/>
      <c r="Q7" s="73"/>
      <c r="R7" s="73"/>
      <c r="S7" s="73"/>
      <c r="T7" s="73"/>
      <c r="U7" s="73"/>
      <c r="V7" s="73"/>
      <c r="W7" s="73"/>
      <c r="X7" s="73"/>
      <c r="Y7" s="73"/>
      <c r="Z7" s="73"/>
      <c r="AA7" s="73"/>
    </row>
    <row r="8" spans="2:27" x14ac:dyDescent="0.3">
      <c r="B8" s="73" t="s">
        <v>58</v>
      </c>
      <c r="C8" s="73"/>
      <c r="D8" s="73"/>
      <c r="E8" s="73"/>
      <c r="F8" s="73"/>
      <c r="G8" s="73"/>
      <c r="H8" s="73"/>
      <c r="I8" s="73"/>
      <c r="J8" s="73"/>
      <c r="K8" s="73"/>
      <c r="L8" s="73"/>
      <c r="M8" s="73"/>
      <c r="N8" s="73"/>
      <c r="O8" s="73"/>
      <c r="P8" s="73"/>
      <c r="Q8" s="73"/>
      <c r="R8" s="73"/>
      <c r="S8" s="73"/>
      <c r="T8" s="73"/>
      <c r="U8" s="73"/>
      <c r="V8" s="73"/>
      <c r="W8" s="73"/>
      <c r="X8" s="73"/>
      <c r="Y8" s="73"/>
      <c r="Z8" s="73"/>
      <c r="AA8" s="73"/>
    </row>
    <row r="9" spans="2:27" x14ac:dyDescent="0.3">
      <c r="B9" s="73" t="s">
        <v>56</v>
      </c>
      <c r="C9" s="73"/>
      <c r="D9" s="73"/>
      <c r="E9" s="73"/>
      <c r="F9" s="73"/>
      <c r="G9" s="73"/>
      <c r="H9" s="73"/>
      <c r="I9" s="73"/>
      <c r="J9" s="73"/>
      <c r="K9" s="73"/>
      <c r="L9" s="73"/>
      <c r="M9" s="73"/>
      <c r="N9" s="73"/>
      <c r="O9" s="73"/>
      <c r="P9" s="73"/>
      <c r="Q9" s="73"/>
      <c r="R9" s="73"/>
      <c r="S9" s="73"/>
      <c r="T9" s="73"/>
      <c r="U9" s="73"/>
      <c r="V9" s="73"/>
      <c r="W9" s="73"/>
      <c r="X9" s="73"/>
      <c r="Y9" s="73"/>
      <c r="Z9" s="73"/>
      <c r="AA9" s="73"/>
    </row>
    <row r="10" spans="2:27" x14ac:dyDescent="0.3">
      <c r="B10" s="73" t="s">
        <v>55</v>
      </c>
      <c r="C10" s="73"/>
      <c r="D10" s="73"/>
      <c r="E10" s="73"/>
      <c r="F10" s="73"/>
      <c r="G10" s="73"/>
      <c r="H10" s="73"/>
      <c r="I10" s="73"/>
      <c r="J10" s="73"/>
      <c r="K10" s="73"/>
      <c r="L10" s="73"/>
      <c r="M10" s="73"/>
      <c r="N10" s="73"/>
      <c r="O10" s="73"/>
      <c r="P10" s="73"/>
      <c r="Q10" s="73"/>
      <c r="R10" s="73"/>
      <c r="S10" s="73"/>
      <c r="T10" s="73"/>
      <c r="U10" s="73"/>
      <c r="V10" s="73"/>
      <c r="W10" s="73"/>
      <c r="X10" s="73"/>
      <c r="Y10" s="73"/>
      <c r="Z10" s="73"/>
      <c r="AA10" s="73"/>
    </row>
    <row r="11" spans="2:27" x14ac:dyDescent="0.3">
      <c r="B11" s="73" t="s">
        <v>57</v>
      </c>
      <c r="C11" s="73"/>
      <c r="D11" s="73"/>
      <c r="E11" s="73"/>
      <c r="F11" s="73"/>
      <c r="G11" s="73"/>
      <c r="H11" s="73"/>
      <c r="I11" s="73"/>
      <c r="J11" s="73"/>
      <c r="K11" s="73"/>
      <c r="L11" s="73"/>
      <c r="M11" s="73"/>
      <c r="N11" s="73"/>
      <c r="O11" s="73"/>
      <c r="P11" s="73"/>
      <c r="Q11" s="73"/>
      <c r="R11" s="73"/>
      <c r="S11" s="73"/>
      <c r="T11" s="73"/>
      <c r="U11" s="73"/>
      <c r="V11" s="73"/>
      <c r="W11" s="73"/>
      <c r="X11" s="73"/>
      <c r="Y11" s="73"/>
      <c r="Z11" s="73"/>
      <c r="AA11" s="73"/>
    </row>
    <row r="12" spans="2:27" x14ac:dyDescent="0.3">
      <c r="B12" s="37"/>
      <c r="C12" s="37"/>
      <c r="D12" s="37"/>
      <c r="E12" s="37"/>
      <c r="F12" s="37"/>
      <c r="G12" s="37"/>
      <c r="H12" s="37"/>
      <c r="I12" s="37"/>
      <c r="J12" s="37"/>
      <c r="K12" s="37"/>
      <c r="L12" s="37"/>
      <c r="M12" s="37"/>
      <c r="N12" s="37"/>
      <c r="O12" s="37"/>
      <c r="P12" s="37"/>
      <c r="Q12" s="37"/>
      <c r="R12" s="37"/>
      <c r="S12" s="37"/>
      <c r="T12" s="37"/>
      <c r="U12" s="37"/>
      <c r="V12" s="37"/>
      <c r="W12" s="37"/>
      <c r="X12" s="37"/>
      <c r="Y12" s="37"/>
      <c r="Z12" s="37"/>
      <c r="AA12" s="37"/>
    </row>
    <row r="13" spans="2:27" x14ac:dyDescent="0.3">
      <c r="B13" s="37"/>
      <c r="C13" s="37"/>
      <c r="D13" s="37"/>
      <c r="E13" s="37"/>
      <c r="F13" s="37"/>
      <c r="G13" s="37"/>
      <c r="H13" s="37"/>
      <c r="I13" s="37"/>
      <c r="J13" s="37"/>
      <c r="K13" s="37"/>
      <c r="L13" s="37"/>
      <c r="M13" s="37"/>
      <c r="N13" s="37"/>
      <c r="O13" s="37"/>
      <c r="P13" s="37"/>
      <c r="Q13" s="37"/>
      <c r="R13" s="37"/>
      <c r="S13" s="37"/>
      <c r="T13" s="37"/>
      <c r="U13" s="37"/>
      <c r="V13" s="37"/>
      <c r="W13" s="37"/>
      <c r="X13" s="37"/>
      <c r="Y13" s="37"/>
      <c r="Z13" s="37"/>
      <c r="AA13" s="37"/>
    </row>
    <row r="14" spans="2:27" x14ac:dyDescent="0.3">
      <c r="B14" s="37"/>
      <c r="C14" s="37"/>
      <c r="D14" s="37"/>
      <c r="E14" s="37"/>
      <c r="F14" s="37"/>
      <c r="G14" s="37"/>
      <c r="H14" s="37"/>
      <c r="I14" s="37"/>
      <c r="J14" s="37"/>
      <c r="K14" s="37"/>
      <c r="L14" s="37"/>
      <c r="M14" s="37"/>
      <c r="N14" s="37"/>
      <c r="O14" s="37"/>
      <c r="P14" s="37"/>
      <c r="Q14" s="37"/>
      <c r="R14" s="37"/>
      <c r="S14" s="37"/>
      <c r="T14" s="37"/>
      <c r="U14" s="37"/>
      <c r="V14" s="37"/>
      <c r="W14" s="37"/>
      <c r="X14" s="37"/>
      <c r="Y14" s="37"/>
      <c r="Z14" s="37"/>
      <c r="AA14" s="37"/>
    </row>
    <row r="15" spans="2:27" x14ac:dyDescent="0.3">
      <c r="B15" s="37"/>
      <c r="C15" s="37"/>
      <c r="D15" s="37"/>
      <c r="E15" s="37"/>
      <c r="F15" s="37"/>
      <c r="G15" s="37"/>
      <c r="H15" s="37"/>
      <c r="I15" s="37"/>
      <c r="J15" s="37"/>
      <c r="K15" s="37"/>
      <c r="L15" s="37"/>
      <c r="M15" s="37"/>
      <c r="N15" s="37"/>
      <c r="O15" s="37"/>
      <c r="P15" s="37"/>
      <c r="Q15" s="37"/>
      <c r="R15" s="37"/>
      <c r="S15" s="37"/>
      <c r="T15" s="37"/>
      <c r="U15" s="37"/>
      <c r="V15" s="37"/>
      <c r="W15" s="37"/>
      <c r="X15" s="37"/>
      <c r="Y15" s="37"/>
      <c r="Z15" s="37"/>
      <c r="AA15" s="37"/>
    </row>
    <row r="16" spans="2:27" x14ac:dyDescent="0.3">
      <c r="B16" s="37"/>
      <c r="C16" s="37"/>
      <c r="D16" s="37"/>
      <c r="E16" s="37"/>
      <c r="F16" s="37"/>
      <c r="G16" s="37"/>
      <c r="H16" s="37"/>
      <c r="I16" s="37"/>
      <c r="J16" s="37"/>
      <c r="K16" s="37"/>
      <c r="L16" s="37"/>
      <c r="M16" s="37"/>
      <c r="N16" s="37"/>
      <c r="O16" s="37"/>
      <c r="P16" s="37"/>
      <c r="Q16" s="37"/>
      <c r="R16" s="37"/>
      <c r="S16" s="37"/>
      <c r="T16" s="37"/>
      <c r="U16" s="37"/>
      <c r="V16" s="37"/>
      <c r="W16" s="37"/>
      <c r="X16" s="37"/>
      <c r="Y16" s="37"/>
      <c r="Z16" s="37"/>
      <c r="AA16" s="37"/>
    </row>
    <row r="17" spans="2:27" x14ac:dyDescent="0.3">
      <c r="B17" s="37"/>
      <c r="C17" s="37"/>
      <c r="D17" s="37"/>
      <c r="E17" s="37"/>
      <c r="F17" s="37"/>
      <c r="G17" s="37"/>
      <c r="H17" s="37"/>
      <c r="I17" s="37"/>
      <c r="J17" s="37"/>
      <c r="K17" s="37"/>
      <c r="L17" s="37"/>
      <c r="M17" s="37"/>
      <c r="N17" s="37"/>
      <c r="O17" s="37"/>
      <c r="P17" s="37"/>
      <c r="Q17" s="37"/>
      <c r="R17" s="37"/>
      <c r="S17" s="37"/>
      <c r="T17" s="37"/>
      <c r="U17" s="37"/>
      <c r="V17" s="37"/>
      <c r="W17" s="37"/>
      <c r="X17" s="37"/>
      <c r="Y17" s="37"/>
      <c r="Z17" s="37"/>
      <c r="AA17" s="37"/>
    </row>
    <row r="52" spans="14:14" x14ac:dyDescent="0.3">
      <c r="N52" s="40"/>
    </row>
  </sheetData>
  <mergeCells count="6">
    <mergeCell ref="B11:AA11"/>
    <mergeCell ref="B3:AA5"/>
    <mergeCell ref="B7:AA7"/>
    <mergeCell ref="B8:AA8"/>
    <mergeCell ref="B9:AA9"/>
    <mergeCell ref="B10:AA10"/>
  </mergeCells>
  <pageMargins left="0.7" right="0.7" top="0.75" bottom="0.75" header="0.3" footer="0.3"/>
  <pageSetup scale="55" orientation="portrait" r:id="rId1"/>
  <drawing r:id="rId2"/>
  <legacyDrawing r:id="rId3"/>
  <controls>
    <mc:AlternateContent xmlns:mc="http://schemas.openxmlformats.org/markup-compatibility/2006">
      <mc:Choice Requires="x14">
        <control shapeId="3" r:id="rId4" name="cbData1">
          <controlPr defaultSize="0" autoFill="0" autoLine="0" autoPict="0" listFillRange="Calculations!A72:A75" r:id="rId5">
            <anchor moveWithCells="1">
              <from>
                <xdr:col>6</xdr:col>
                <xdr:colOff>0</xdr:colOff>
                <xdr:row>50</xdr:row>
                <xdr:rowOff>0</xdr:rowOff>
              </from>
              <to>
                <xdr:col>12</xdr:col>
                <xdr:colOff>396240</xdr:colOff>
                <xdr:row>51</xdr:row>
                <xdr:rowOff>0</xdr:rowOff>
              </to>
            </anchor>
          </controlPr>
        </control>
      </mc:Choice>
      <mc:Fallback>
        <control shapeId="1028" r:id="rId4" name="cbData1"/>
      </mc:Fallback>
    </mc:AlternateContent>
    <mc:AlternateContent xmlns:mc="http://schemas.openxmlformats.org/markup-compatibility/2006">
      <mc:Choice Requires="x14">
        <control shapeId="2" r:id="rId6" name="cbData2">
          <controlPr defaultSize="0" autoFill="0" autoLine="0" autoPict="0" listFillRange="Calculations!A72:A75" r:id="rId7">
            <anchor moveWithCells="1">
              <from>
                <xdr:col>20</xdr:col>
                <xdr:colOff>0</xdr:colOff>
                <xdr:row>50</xdr:row>
                <xdr:rowOff>0</xdr:rowOff>
              </from>
              <to>
                <xdr:col>27</xdr:col>
                <xdr:colOff>0</xdr:colOff>
                <xdr:row>51</xdr:row>
                <xdr:rowOff>0</xdr:rowOff>
              </to>
            </anchor>
          </controlPr>
        </control>
      </mc:Choice>
      <mc:Fallback>
        <control shapeId="1029" r:id="rId6" name="cbData2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>
    <pageSetUpPr fitToPage="1"/>
  </sheetPr>
  <dimension ref="A1:O32"/>
  <sheetViews>
    <sheetView zoomScale="103" zoomScaleNormal="85" workbookViewId="0">
      <selection activeCell="Q15" sqref="Q15"/>
    </sheetView>
  </sheetViews>
  <sheetFormatPr defaultRowHeight="14.4" x14ac:dyDescent="0.3"/>
  <cols>
    <col min="1" max="1" width="7.44140625" bestFit="1" customWidth="1"/>
    <col min="2" max="2" width="11" bestFit="1" customWidth="1"/>
    <col min="3" max="6" width="11.21875" bestFit="1" customWidth="1"/>
    <col min="7" max="7" width="8.6640625" bestFit="1" customWidth="1"/>
    <col min="8" max="8" width="6.21875" bestFit="1" customWidth="1"/>
    <col min="9" max="9" width="8.109375" bestFit="1" customWidth="1"/>
    <col min="10" max="10" width="8.6640625" bestFit="1" customWidth="1"/>
    <col min="11" max="11" width="6.33203125" bestFit="1" customWidth="1"/>
    <col min="12" max="12" width="8.88671875" bestFit="1" customWidth="1"/>
    <col min="13" max="13" width="8.88671875" customWidth="1"/>
    <col min="14" max="14" width="9.5546875" bestFit="1" customWidth="1"/>
    <col min="15" max="15" width="9.33203125" bestFit="1" customWidth="1"/>
  </cols>
  <sheetData>
    <row r="1" spans="1:15" ht="21" x14ac:dyDescent="0.4">
      <c r="A1" s="76" t="s">
        <v>92</v>
      </c>
      <c r="B1" s="77"/>
      <c r="C1" s="77"/>
      <c r="D1" s="77"/>
      <c r="E1" s="77"/>
      <c r="F1" s="77"/>
      <c r="G1" s="77"/>
      <c r="H1" s="77"/>
      <c r="I1" s="77"/>
      <c r="J1" s="77"/>
      <c r="K1" s="77"/>
      <c r="L1" s="77"/>
      <c r="M1" s="77"/>
      <c r="N1" s="77"/>
      <c r="O1" s="78"/>
    </row>
    <row r="2" spans="1:15" ht="43.2" x14ac:dyDescent="0.3">
      <c r="A2" s="62" t="s">
        <v>0</v>
      </c>
      <c r="B2" s="63" t="s">
        <v>1</v>
      </c>
      <c r="C2" s="63" t="s">
        <v>15</v>
      </c>
      <c r="D2" s="63" t="s">
        <v>11</v>
      </c>
      <c r="E2" s="63" t="s">
        <v>43</v>
      </c>
      <c r="F2" s="63" t="s">
        <v>2</v>
      </c>
      <c r="G2" s="90" t="s">
        <v>93</v>
      </c>
      <c r="H2" s="91" t="s">
        <v>20</v>
      </c>
      <c r="I2" s="64" t="s">
        <v>3</v>
      </c>
      <c r="J2" s="63" t="s">
        <v>12</v>
      </c>
      <c r="K2" s="63" t="s">
        <v>39</v>
      </c>
      <c r="L2" s="63" t="s">
        <v>4</v>
      </c>
      <c r="M2" s="63" t="s">
        <v>35</v>
      </c>
      <c r="N2" s="63" t="s">
        <v>9</v>
      </c>
      <c r="O2" s="65" t="s">
        <v>10</v>
      </c>
    </row>
    <row r="3" spans="1:15" x14ac:dyDescent="0.3">
      <c r="A3" s="1">
        <v>1</v>
      </c>
      <c r="B3" s="2">
        <f t="shared" ref="B3:B24" si="0" xml:space="preserve"> IFERROR(G3 / H3, "---")</f>
        <v>1</v>
      </c>
      <c r="C3" s="2">
        <f t="shared" ref="C3:C24" si="1" xml:space="preserve"> IFERROR(I3/$H3, "---")</f>
        <v>1</v>
      </c>
      <c r="D3" s="2">
        <f t="shared" ref="D3:D24" si="2" xml:space="preserve"> IFERROR(J3/$H3, "---")</f>
        <v>1</v>
      </c>
      <c r="E3" s="2">
        <f>IFERROR((Sites!G3 + SUMIFS(Questions!$F$2:$F$36, Questions!$A$2:$A$36, A3))/$H3, "---")</f>
        <v>1</v>
      </c>
      <c r="F3" s="2">
        <f t="shared" ref="F3:F24" si="3" xml:space="preserve"> IFERROR(K3/$H3, "---")</f>
        <v>1</v>
      </c>
      <c r="G3" s="95">
        <v>100</v>
      </c>
      <c r="H3" s="95">
        <v>100</v>
      </c>
      <c r="I3" s="15">
        <f xml:space="preserve"> SUMIFS(Questions!$F$2:$F$36, Questions!$A$2:$A$36, Sites!$A3, Questions!C$2:C$36, TRUE) + $G3</f>
        <v>100</v>
      </c>
      <c r="J3" s="15">
        <f xml:space="preserve"> SUMIFS(Questions!$F$2:$F$36, Questions!$A$2:$A$36, Sites!$A3, Questions!D$2:D$36, TRUE) + $G3</f>
        <v>100</v>
      </c>
      <c r="K3" s="15">
        <f xml:space="preserve"> SUMIFS(Questions!$F$2:$F$36, Questions!$A$2:$A$36, Sites!$A3, Questions!E$2:E$36, TRUE) + $G3</f>
        <v>100</v>
      </c>
      <c r="L3" s="15">
        <f xml:space="preserve"> COUNTIF(Questions!$A$2:$A$36, A3)</f>
        <v>0</v>
      </c>
      <c r="M3" s="15">
        <f>COUNTIFS(Questions!$A$2:$A$36, $A3, Questions!C$2:C$36, TRUE)</f>
        <v>0</v>
      </c>
      <c r="N3" s="15">
        <f>COUNTIFS(Questions!$A$2:$A$36, $A3, Questions!D$2:D$36, TRUE)</f>
        <v>0</v>
      </c>
      <c r="O3" s="4">
        <f>COUNTIFS(Questions!$A$2:$A$36, $A3, Questions!E$2:E$36, TRUE)</f>
        <v>0</v>
      </c>
    </row>
    <row r="4" spans="1:15" x14ac:dyDescent="0.3">
      <c r="A4" s="1">
        <v>2</v>
      </c>
      <c r="B4" s="2">
        <f t="shared" si="0"/>
        <v>1</v>
      </c>
      <c r="C4" s="2">
        <f t="shared" si="1"/>
        <v>1</v>
      </c>
      <c r="D4" s="2">
        <f t="shared" si="2"/>
        <v>1</v>
      </c>
      <c r="E4" s="2">
        <f>IFERROR((Sites!G4 + SUMIFS(Questions!$F$2:$F$36, Questions!$A$2:$A$36, A4))/$H4, "---")</f>
        <v>1</v>
      </c>
      <c r="F4" s="2">
        <f t="shared" si="3"/>
        <v>1</v>
      </c>
      <c r="G4" s="94">
        <v>100</v>
      </c>
      <c r="H4" s="94">
        <v>100</v>
      </c>
      <c r="I4" s="15">
        <f xml:space="preserve"> SUMIFS(Questions!$F$2:$F$36, Questions!$A$2:$A$36, Sites!$A4, Questions!C$2:C$36, TRUE) + $G4</f>
        <v>100</v>
      </c>
      <c r="J4" s="15">
        <f xml:space="preserve"> SUMIFS(Questions!$F$2:$F$36, Questions!$A$2:$A$36, Sites!$A4, Questions!D$2:D$36, TRUE) + $G4</f>
        <v>100</v>
      </c>
      <c r="K4" s="15">
        <f xml:space="preserve"> SUMIFS(Questions!$F$2:$F$36, Questions!$A$2:$A$36, Sites!$A4, Questions!E$2:E$36, TRUE) + $G4</f>
        <v>100</v>
      </c>
      <c r="L4" s="15">
        <f xml:space="preserve"> COUNTIF(Questions!$A$2:$A$36, A4)</f>
        <v>0</v>
      </c>
      <c r="M4" s="15">
        <f>COUNTIFS(Questions!$A$2:$A$36, $A4, Questions!C$2:C$36, TRUE)</f>
        <v>0</v>
      </c>
      <c r="N4" s="15">
        <f>COUNTIFS(Questions!$A$2:$A$36, $A4, Questions!D$2:D$36, TRUE)</f>
        <v>0</v>
      </c>
      <c r="O4" s="4">
        <f>COUNTIFS(Questions!$A$2:$A$36, $A4, Questions!E$2:E$36, TRUE)</f>
        <v>0</v>
      </c>
    </row>
    <row r="5" spans="1:15" x14ac:dyDescent="0.3">
      <c r="A5" s="1">
        <v>3</v>
      </c>
      <c r="B5" s="2" t="str">
        <f t="shared" si="0"/>
        <v>---</v>
      </c>
      <c r="C5" s="2" t="str">
        <f t="shared" si="1"/>
        <v>---</v>
      </c>
      <c r="D5" s="2" t="str">
        <f t="shared" si="2"/>
        <v>---</v>
      </c>
      <c r="E5" s="2" t="str">
        <f>IFERROR((Sites!G5 + SUMIFS(Questions!$F$2:$F$36, Questions!$A$2:$A$36, A5))/$H5, "---")</f>
        <v>---</v>
      </c>
      <c r="F5" s="2" t="str">
        <f t="shared" si="3"/>
        <v>---</v>
      </c>
      <c r="G5" s="94"/>
      <c r="H5" s="94"/>
      <c r="I5" s="15">
        <f xml:space="preserve"> SUMIFS(Questions!$F$2:$F$36, Questions!$A$2:$A$36, Sites!$A5, Questions!C$2:C$36, TRUE) + $G5</f>
        <v>0</v>
      </c>
      <c r="J5" s="15">
        <f xml:space="preserve"> SUMIFS(Questions!$F$2:$F$36, Questions!$A$2:$A$36, Sites!$A5, Questions!D$2:D$36, TRUE) + $G5</f>
        <v>0</v>
      </c>
      <c r="K5" s="15">
        <f xml:space="preserve"> SUMIFS(Questions!$F$2:$F$36, Questions!$A$2:$A$36, Sites!$A5, Questions!E$2:E$36, TRUE) + $G5</f>
        <v>0</v>
      </c>
      <c r="L5" s="15">
        <f xml:space="preserve"> COUNTIF(Questions!$A$2:$A$36, A5)</f>
        <v>0</v>
      </c>
      <c r="M5" s="15">
        <f>COUNTIFS(Questions!$A$2:$A$36, $A5, Questions!C$2:C$36, TRUE)</f>
        <v>0</v>
      </c>
      <c r="N5" s="15">
        <f>COUNTIFS(Questions!$A$2:$A$36, $A5, Questions!D$2:D$36, TRUE)</f>
        <v>0</v>
      </c>
      <c r="O5" s="4">
        <f>COUNTIFS(Questions!$A$2:$A$36, $A5, Questions!E$2:E$36, TRUE)</f>
        <v>0</v>
      </c>
    </row>
    <row r="6" spans="1:15" x14ac:dyDescent="0.3">
      <c r="A6" s="1">
        <v>4</v>
      </c>
      <c r="B6" s="2">
        <f t="shared" si="0"/>
        <v>0.82</v>
      </c>
      <c r="C6" s="2">
        <f t="shared" si="1"/>
        <v>0.86</v>
      </c>
      <c r="D6" s="2">
        <f t="shared" si="2"/>
        <v>0.86</v>
      </c>
      <c r="E6" s="2">
        <f>IFERROR((Sites!G6 + SUMIFS(Questions!$F$2:$F$36, Questions!$A$2:$A$36, A6))/$H6, "---")</f>
        <v>0.94</v>
      </c>
      <c r="F6" s="2">
        <f t="shared" si="3"/>
        <v>0.86</v>
      </c>
      <c r="G6" s="94">
        <v>82</v>
      </c>
      <c r="H6" s="94">
        <v>100</v>
      </c>
      <c r="I6" s="15">
        <f xml:space="preserve"> SUMIFS(Questions!$F$2:$F$36, Questions!$A$2:$A$36, Sites!$A6, Questions!C$2:C$36, TRUE) + $G6</f>
        <v>86</v>
      </c>
      <c r="J6" s="15">
        <f xml:space="preserve"> SUMIFS(Questions!$F$2:$F$36, Questions!$A$2:$A$36, Sites!$A6, Questions!D$2:D$36, TRUE) + $G6</f>
        <v>86</v>
      </c>
      <c r="K6" s="15">
        <f xml:space="preserve"> SUMIFS(Questions!$F$2:$F$36, Questions!$A$2:$A$36, Sites!$A6, Questions!E$2:E$36, TRUE) + $G6</f>
        <v>86</v>
      </c>
      <c r="L6" s="15">
        <f xml:space="preserve"> COUNTIF(Questions!$A$2:$A$36, A6)</f>
        <v>3</v>
      </c>
      <c r="M6" s="15">
        <f>COUNTIFS(Questions!$A$2:$A$36, $A6, Questions!C$2:C$36, TRUE)</f>
        <v>2</v>
      </c>
      <c r="N6" s="15">
        <f>COUNTIFS(Questions!$A$2:$A$36, $A6, Questions!D$2:D$36, TRUE)</f>
        <v>2</v>
      </c>
      <c r="O6" s="4">
        <f>COUNTIFS(Questions!$A$2:$A$36, $A6, Questions!E$2:E$36, TRUE)</f>
        <v>2</v>
      </c>
    </row>
    <row r="7" spans="1:15" x14ac:dyDescent="0.3">
      <c r="A7" s="1">
        <v>5</v>
      </c>
      <c r="B7" s="2">
        <f t="shared" si="0"/>
        <v>0.8666666666666667</v>
      </c>
      <c r="C7" s="2">
        <f t="shared" si="1"/>
        <v>0.88888888888888884</v>
      </c>
      <c r="D7" s="2">
        <f t="shared" si="2"/>
        <v>0.88888888888888884</v>
      </c>
      <c r="E7" s="2">
        <f>IFERROR((Sites!G7 + SUMIFS(Questions!$F$2:$F$36, Questions!$A$2:$A$36, A7))/$H7, "---")</f>
        <v>0.91111111111111109</v>
      </c>
      <c r="F7" s="2">
        <f t="shared" si="3"/>
        <v>0.88888888888888884</v>
      </c>
      <c r="G7" s="94">
        <v>78</v>
      </c>
      <c r="H7" s="94">
        <v>90</v>
      </c>
      <c r="I7" s="15">
        <f xml:space="preserve"> SUMIFS(Questions!$F$2:$F$36, Questions!$A$2:$A$36, Sites!$A7, Questions!C$2:C$36, TRUE) + $G7</f>
        <v>80</v>
      </c>
      <c r="J7" s="15">
        <f xml:space="preserve"> SUMIFS(Questions!$F$2:$F$36, Questions!$A$2:$A$36, Sites!$A7, Questions!D$2:D$36, TRUE) + $G7</f>
        <v>80</v>
      </c>
      <c r="K7" s="15">
        <f xml:space="preserve"> SUMIFS(Questions!$F$2:$F$36, Questions!$A$2:$A$36, Sites!$A7, Questions!E$2:E$36, TRUE) + $G7</f>
        <v>80</v>
      </c>
      <c r="L7" s="15">
        <f xml:space="preserve"> COUNTIF(Questions!$A$2:$A$36, A7)</f>
        <v>2</v>
      </c>
      <c r="M7" s="15">
        <f>COUNTIFS(Questions!$A$2:$A$36, $A7, Questions!C$2:C$36, TRUE)</f>
        <v>1</v>
      </c>
      <c r="N7" s="15">
        <f>COUNTIFS(Questions!$A$2:$A$36, $A7, Questions!D$2:D$36, TRUE)</f>
        <v>1</v>
      </c>
      <c r="O7" s="4">
        <f>COUNTIFS(Questions!$A$2:$A$36, $A7, Questions!E$2:E$36, TRUE)</f>
        <v>1</v>
      </c>
    </row>
    <row r="8" spans="1:15" x14ac:dyDescent="0.3">
      <c r="A8" s="1">
        <v>6</v>
      </c>
      <c r="B8" s="2">
        <f t="shared" si="0"/>
        <v>0.96511627906976749</v>
      </c>
      <c r="C8" s="2">
        <f t="shared" si="1"/>
        <v>0.96511627906976749</v>
      </c>
      <c r="D8" s="2">
        <f t="shared" si="2"/>
        <v>0.96511627906976749</v>
      </c>
      <c r="E8" s="2">
        <f>IFERROR((Sites!G8 + SUMIFS(Questions!$F$2:$F$36, Questions!$A$2:$A$36, A8))/$H8, "---")</f>
        <v>0.96511627906976749</v>
      </c>
      <c r="F8" s="2">
        <f t="shared" si="3"/>
        <v>0.96511627906976749</v>
      </c>
      <c r="G8" s="94">
        <v>83</v>
      </c>
      <c r="H8" s="94">
        <v>86</v>
      </c>
      <c r="I8" s="15">
        <f xml:space="preserve"> SUMIFS(Questions!$F$2:$F$36, Questions!$A$2:$A$36, Sites!$A8, Questions!C$2:C$36, TRUE) + $G8</f>
        <v>83</v>
      </c>
      <c r="J8" s="15">
        <f xml:space="preserve"> SUMIFS(Questions!$F$2:$F$36, Questions!$A$2:$A$36, Sites!$A8, Questions!D$2:D$36, TRUE) + $G8</f>
        <v>83</v>
      </c>
      <c r="K8" s="15">
        <f xml:space="preserve"> SUMIFS(Questions!$F$2:$F$36, Questions!$A$2:$A$36, Sites!$A8, Questions!E$2:E$36, TRUE) + $G8</f>
        <v>83</v>
      </c>
      <c r="L8" s="15">
        <f xml:space="preserve"> COUNTIF(Questions!$A$2:$A$36, A8)</f>
        <v>0</v>
      </c>
      <c r="M8" s="15">
        <f>COUNTIFS(Questions!$A$2:$A$36, $A8, Questions!C$2:C$36, TRUE)</f>
        <v>0</v>
      </c>
      <c r="N8" s="15">
        <f>COUNTIFS(Questions!$A$2:$A$36, $A8, Questions!D$2:D$36, TRUE)</f>
        <v>0</v>
      </c>
      <c r="O8" s="4">
        <f>COUNTIFS(Questions!$A$2:$A$36, $A8, Questions!E$2:E$36, TRUE)</f>
        <v>0</v>
      </c>
    </row>
    <row r="9" spans="1:15" x14ac:dyDescent="0.3">
      <c r="A9" s="1">
        <v>7</v>
      </c>
      <c r="B9" s="2">
        <f t="shared" si="0"/>
        <v>0.85555555555555551</v>
      </c>
      <c r="C9" s="2">
        <f t="shared" si="1"/>
        <v>0.87777777777777777</v>
      </c>
      <c r="D9" s="2">
        <f t="shared" si="2"/>
        <v>0.87777777777777777</v>
      </c>
      <c r="E9" s="2">
        <f>IFERROR((Sites!G9 + SUMIFS(Questions!$F$2:$F$36, Questions!$A$2:$A$36, A9))/$H9, "---")</f>
        <v>0.87777777777777777</v>
      </c>
      <c r="F9" s="2">
        <f t="shared" si="3"/>
        <v>0.87777777777777777</v>
      </c>
      <c r="G9" s="94">
        <v>77</v>
      </c>
      <c r="H9" s="94">
        <v>90</v>
      </c>
      <c r="I9" s="15">
        <f xml:space="preserve"> SUMIFS(Questions!$F$2:$F$36, Questions!$A$2:$A$36, Sites!$A9, Questions!C$2:C$36, TRUE) + $G9</f>
        <v>79</v>
      </c>
      <c r="J9" s="15">
        <f xml:space="preserve"> SUMIFS(Questions!$F$2:$F$36, Questions!$A$2:$A$36, Sites!$A9, Questions!D$2:D$36, TRUE) + $G9</f>
        <v>79</v>
      </c>
      <c r="K9" s="15">
        <f xml:space="preserve"> SUMIFS(Questions!$F$2:$F$36, Questions!$A$2:$A$36, Sites!$A9, Questions!E$2:E$36, TRUE) + $G9</f>
        <v>79</v>
      </c>
      <c r="L9" s="15">
        <f xml:space="preserve"> COUNTIF(Questions!$A$2:$A$36, A9)</f>
        <v>1</v>
      </c>
      <c r="M9" s="15">
        <f>COUNTIFS(Questions!$A$2:$A$36, $A9, Questions!C$2:C$36, TRUE)</f>
        <v>1</v>
      </c>
      <c r="N9" s="15">
        <f>COUNTIFS(Questions!$A$2:$A$36, $A9, Questions!D$2:D$36, TRUE)</f>
        <v>1</v>
      </c>
      <c r="O9" s="4">
        <f>COUNTIFS(Questions!$A$2:$A$36, $A9, Questions!E$2:E$36, TRUE)</f>
        <v>1</v>
      </c>
    </row>
    <row r="10" spans="1:15" x14ac:dyDescent="0.3">
      <c r="A10" s="1">
        <v>8</v>
      </c>
      <c r="B10" s="2">
        <f t="shared" si="0"/>
        <v>0.9</v>
      </c>
      <c r="C10" s="2">
        <f t="shared" si="1"/>
        <v>0.94</v>
      </c>
      <c r="D10" s="2">
        <f t="shared" si="2"/>
        <v>0.94</v>
      </c>
      <c r="E10" s="2">
        <f>IFERROR((Sites!G10 + SUMIFS(Questions!$F$2:$F$36, Questions!$A$2:$A$36, A10))/$H10, "---")</f>
        <v>0.94</v>
      </c>
      <c r="F10" s="2">
        <f t="shared" si="3"/>
        <v>0.94</v>
      </c>
      <c r="G10" s="94">
        <v>90</v>
      </c>
      <c r="H10" s="94">
        <v>100</v>
      </c>
      <c r="I10" s="15">
        <f xml:space="preserve"> SUMIFS(Questions!$F$2:$F$36, Questions!$A$2:$A$36, Sites!$A10, Questions!C$2:C$36, TRUE) + $G10</f>
        <v>94</v>
      </c>
      <c r="J10" s="15">
        <f xml:space="preserve"> SUMIFS(Questions!$F$2:$F$36, Questions!$A$2:$A$36, Sites!$A10, Questions!D$2:D$36, TRUE) + $G10</f>
        <v>94</v>
      </c>
      <c r="K10" s="15">
        <f xml:space="preserve"> SUMIFS(Questions!$F$2:$F$36, Questions!$A$2:$A$36, Sites!$A10, Questions!E$2:E$36, TRUE) + $G10</f>
        <v>94</v>
      </c>
      <c r="L10" s="15">
        <f xml:space="preserve"> COUNTIF(Questions!$A$2:$A$36, A10)</f>
        <v>2</v>
      </c>
      <c r="M10" s="15">
        <f>COUNTIFS(Questions!$A$2:$A$36, $A10, Questions!C$2:C$36, TRUE)</f>
        <v>2</v>
      </c>
      <c r="N10" s="15">
        <f>COUNTIFS(Questions!$A$2:$A$36, $A10, Questions!D$2:D$36, TRUE)</f>
        <v>2</v>
      </c>
      <c r="O10" s="4">
        <f>COUNTIFS(Questions!$A$2:$A$36, $A10, Questions!E$2:E$36, TRUE)</f>
        <v>2</v>
      </c>
    </row>
    <row r="11" spans="1:15" x14ac:dyDescent="0.3">
      <c r="A11" s="1">
        <v>9</v>
      </c>
      <c r="B11" s="2">
        <f t="shared" si="0"/>
        <v>0.82</v>
      </c>
      <c r="C11" s="2">
        <f t="shared" si="1"/>
        <v>0.88</v>
      </c>
      <c r="D11" s="2">
        <f t="shared" si="2"/>
        <v>0.88</v>
      </c>
      <c r="E11" s="2">
        <f>IFERROR((Sites!G11 + SUMIFS(Questions!$F$2:$F$36, Questions!$A$2:$A$36, A11))/$H11, "---")</f>
        <v>0.89</v>
      </c>
      <c r="F11" s="2">
        <f t="shared" si="3"/>
        <v>0.88</v>
      </c>
      <c r="G11" s="94">
        <v>82</v>
      </c>
      <c r="H11" s="94">
        <v>100</v>
      </c>
      <c r="I11" s="15">
        <f xml:space="preserve"> SUMIFS(Questions!$F$2:$F$36, Questions!$A$2:$A$36, Sites!$A11, Questions!C$2:C$36, TRUE) + $G11</f>
        <v>88</v>
      </c>
      <c r="J11" s="15">
        <f xml:space="preserve"> SUMIFS(Questions!$F$2:$F$36, Questions!$A$2:$A$36, Sites!$A11, Questions!D$2:D$36, TRUE) + $G11</f>
        <v>88</v>
      </c>
      <c r="K11" s="15">
        <f xml:space="preserve"> SUMIFS(Questions!$F$2:$F$36, Questions!$A$2:$A$36, Sites!$A11, Questions!E$2:E$36, TRUE) + $G11</f>
        <v>88</v>
      </c>
      <c r="L11" s="15">
        <f xml:space="preserve"> COUNTIF(Questions!$A$2:$A$36, A11)</f>
        <v>4</v>
      </c>
      <c r="M11" s="15">
        <f>COUNTIFS(Questions!$A$2:$A$36, $A11, Questions!C$2:C$36, TRUE)</f>
        <v>3</v>
      </c>
      <c r="N11" s="15">
        <f>COUNTIFS(Questions!$A$2:$A$36, $A11, Questions!D$2:D$36, TRUE)</f>
        <v>3</v>
      </c>
      <c r="O11" s="4">
        <f>COUNTIFS(Questions!$A$2:$A$36, $A11, Questions!E$2:E$36, TRUE)</f>
        <v>3</v>
      </c>
    </row>
    <row r="12" spans="1:15" x14ac:dyDescent="0.3">
      <c r="A12" s="1">
        <v>10</v>
      </c>
      <c r="B12" s="2">
        <f t="shared" si="0"/>
        <v>1</v>
      </c>
      <c r="C12" s="2">
        <f t="shared" si="1"/>
        <v>1</v>
      </c>
      <c r="D12" s="2">
        <f t="shared" si="2"/>
        <v>1</v>
      </c>
      <c r="E12" s="2">
        <f>IFERROR((Sites!G12 + SUMIFS(Questions!$F$2:$F$36, Questions!$A$2:$A$36, A12))/$H12, "---")</f>
        <v>1</v>
      </c>
      <c r="F12" s="2">
        <f t="shared" si="3"/>
        <v>1</v>
      </c>
      <c r="G12" s="94">
        <v>100</v>
      </c>
      <c r="H12" s="94">
        <v>100</v>
      </c>
      <c r="I12" s="15">
        <f xml:space="preserve"> SUMIFS(Questions!$F$2:$F$36, Questions!$A$2:$A$36, Sites!$A12, Questions!C$2:C$36, TRUE) + $G12</f>
        <v>100</v>
      </c>
      <c r="J12" s="15">
        <f xml:space="preserve"> SUMIFS(Questions!$F$2:$F$36, Questions!$A$2:$A$36, Sites!$A12, Questions!D$2:D$36, TRUE) + $G12</f>
        <v>100</v>
      </c>
      <c r="K12" s="15">
        <f xml:space="preserve"> SUMIFS(Questions!$F$2:$F$36, Questions!$A$2:$A$36, Sites!$A12, Questions!E$2:E$36, TRUE) + $G12</f>
        <v>100</v>
      </c>
      <c r="L12" s="15">
        <f xml:space="preserve"> COUNTIF(Questions!$A$2:$A$36, A12)</f>
        <v>0</v>
      </c>
      <c r="M12" s="15">
        <f>COUNTIFS(Questions!$A$2:$A$36, $A12, Questions!C$2:C$36, TRUE)</f>
        <v>0</v>
      </c>
      <c r="N12" s="15">
        <f>COUNTIFS(Questions!$A$2:$A$36, $A12, Questions!D$2:D$36, TRUE)</f>
        <v>0</v>
      </c>
      <c r="O12" s="4">
        <f>COUNTIFS(Questions!$A$2:$A$36, $A12, Questions!E$2:E$36, TRUE)</f>
        <v>0</v>
      </c>
    </row>
    <row r="13" spans="1:15" x14ac:dyDescent="0.3">
      <c r="A13" s="1">
        <v>11</v>
      </c>
      <c r="B13" s="2">
        <f t="shared" si="0"/>
        <v>0.65555555555555556</v>
      </c>
      <c r="C13" s="2">
        <f t="shared" si="1"/>
        <v>0.76666666666666672</v>
      </c>
      <c r="D13" s="2">
        <f t="shared" si="2"/>
        <v>0.76666666666666672</v>
      </c>
      <c r="E13" s="2">
        <f>IFERROR((Sites!G13 + SUMIFS(Questions!$F$2:$F$36, Questions!$A$2:$A$36, A13))/$H13, "---")</f>
        <v>0.87777777777777777</v>
      </c>
      <c r="F13" s="2">
        <f t="shared" si="3"/>
        <v>0.76666666666666672</v>
      </c>
      <c r="G13" s="94">
        <v>59</v>
      </c>
      <c r="H13" s="94">
        <v>90</v>
      </c>
      <c r="I13" s="15">
        <f xml:space="preserve"> SUMIFS(Questions!$F$2:$F$36, Questions!$A$2:$A$36, Sites!$A13, Questions!C$2:C$36, TRUE) + $G13</f>
        <v>69</v>
      </c>
      <c r="J13" s="15">
        <f xml:space="preserve"> SUMIFS(Questions!$F$2:$F$36, Questions!$A$2:$A$36, Sites!$A13, Questions!D$2:D$36, TRUE) + $G13</f>
        <v>69</v>
      </c>
      <c r="K13" s="15">
        <f xml:space="preserve"> SUMIFS(Questions!$F$2:$F$36, Questions!$A$2:$A$36, Sites!$A13, Questions!E$2:E$36, TRUE) + $G13</f>
        <v>69</v>
      </c>
      <c r="L13" s="15">
        <f xml:space="preserve"> COUNTIF(Questions!$A$2:$A$36, A13)</f>
        <v>5</v>
      </c>
      <c r="M13" s="15">
        <f>COUNTIFS(Questions!$A$2:$A$36, $A13, Questions!C$2:C$36, TRUE)</f>
        <v>3</v>
      </c>
      <c r="N13" s="15">
        <f>COUNTIFS(Questions!$A$2:$A$36, $A13, Questions!D$2:D$36, TRUE)</f>
        <v>3</v>
      </c>
      <c r="O13" s="4">
        <f>COUNTIFS(Questions!$A$2:$A$36, $A13, Questions!E$2:E$36, TRUE)</f>
        <v>3</v>
      </c>
    </row>
    <row r="14" spans="1:15" x14ac:dyDescent="0.3">
      <c r="A14" s="1">
        <v>12</v>
      </c>
      <c r="B14" s="2">
        <f t="shared" si="0"/>
        <v>0.92045454545454541</v>
      </c>
      <c r="C14" s="2">
        <f t="shared" si="1"/>
        <v>0.94318181818181823</v>
      </c>
      <c r="D14" s="2">
        <f t="shared" si="2"/>
        <v>0.94318181818181823</v>
      </c>
      <c r="E14" s="2">
        <f>IFERROR((Sites!G14 + SUMIFS(Questions!$F$2:$F$36, Questions!$A$2:$A$36, A14))/$H14, "---")</f>
        <v>0.94318181818181823</v>
      </c>
      <c r="F14" s="2">
        <f t="shared" si="3"/>
        <v>0.94318181818181823</v>
      </c>
      <c r="G14" s="94">
        <v>81</v>
      </c>
      <c r="H14" s="94">
        <v>88</v>
      </c>
      <c r="I14" s="15">
        <f xml:space="preserve"> SUMIFS(Questions!$F$2:$F$36, Questions!$A$2:$A$36, Sites!$A14, Questions!C$2:C$36, TRUE) + $G14</f>
        <v>83</v>
      </c>
      <c r="J14" s="15">
        <f xml:space="preserve"> SUMIFS(Questions!$F$2:$F$36, Questions!$A$2:$A$36, Sites!$A14, Questions!D$2:D$36, TRUE) + $G14</f>
        <v>83</v>
      </c>
      <c r="K14" s="15">
        <f xml:space="preserve"> SUMIFS(Questions!$F$2:$F$36, Questions!$A$2:$A$36, Sites!$A14, Questions!E$2:E$36, TRUE) + $G14</f>
        <v>83</v>
      </c>
      <c r="L14" s="15">
        <f xml:space="preserve"> COUNTIF(Questions!$A$2:$A$36, A14)</f>
        <v>1</v>
      </c>
      <c r="M14" s="15">
        <f>COUNTIFS(Questions!$A$2:$A$36, $A14, Questions!C$2:C$36, TRUE)</f>
        <v>1</v>
      </c>
      <c r="N14" s="15">
        <f>COUNTIFS(Questions!$A$2:$A$36, $A14, Questions!D$2:D$36, TRUE)</f>
        <v>1</v>
      </c>
      <c r="O14" s="4">
        <f>COUNTIFS(Questions!$A$2:$A$36, $A14, Questions!E$2:E$36, TRUE)</f>
        <v>1</v>
      </c>
    </row>
    <row r="15" spans="1:15" x14ac:dyDescent="0.3">
      <c r="A15" s="1">
        <v>13</v>
      </c>
      <c r="B15" s="2">
        <f t="shared" si="0"/>
        <v>0.78</v>
      </c>
      <c r="C15" s="2">
        <f t="shared" si="1"/>
        <v>0.82</v>
      </c>
      <c r="D15" s="2">
        <f t="shared" si="2"/>
        <v>0.79</v>
      </c>
      <c r="E15" s="2">
        <f>IFERROR((Sites!G15 + SUMIFS(Questions!$F$2:$F$36, Questions!$A$2:$A$36, A15))/$H15, "---")</f>
        <v>0.85</v>
      </c>
      <c r="F15" s="2">
        <f t="shared" si="3"/>
        <v>0.79</v>
      </c>
      <c r="G15" s="94">
        <v>78</v>
      </c>
      <c r="H15" s="94">
        <v>100</v>
      </c>
      <c r="I15" s="15">
        <f xml:space="preserve"> SUMIFS(Questions!$F$2:$F$36, Questions!$A$2:$A$36, Sites!$A15, Questions!C$2:C$36, TRUE) + $G15</f>
        <v>82</v>
      </c>
      <c r="J15" s="15">
        <f xml:space="preserve"> SUMIFS(Questions!$F$2:$F$36, Questions!$A$2:$A$36, Sites!$A15, Questions!D$2:D$36, TRUE) + $G15</f>
        <v>79</v>
      </c>
      <c r="K15" s="15">
        <f xml:space="preserve"> SUMIFS(Questions!$F$2:$F$36, Questions!$A$2:$A$36, Sites!$A15, Questions!E$2:E$36, TRUE) + $G15</f>
        <v>79</v>
      </c>
      <c r="L15" s="15">
        <f xml:space="preserve"> COUNTIF(Questions!$A$2:$A$36, A15)</f>
        <v>5</v>
      </c>
      <c r="M15" s="15">
        <f>COUNTIFS(Questions!$A$2:$A$36, $A15, Questions!C$2:C$36, TRUE)</f>
        <v>2</v>
      </c>
      <c r="N15" s="15">
        <f>COUNTIFS(Questions!$A$2:$A$36, $A15, Questions!D$2:D$36, TRUE)</f>
        <v>1</v>
      </c>
      <c r="O15" s="4">
        <f>COUNTIFS(Questions!$A$2:$A$36, $A15, Questions!E$2:E$36, TRUE)</f>
        <v>1</v>
      </c>
    </row>
    <row r="16" spans="1:15" x14ac:dyDescent="0.3">
      <c r="A16" s="1">
        <v>14</v>
      </c>
      <c r="B16" s="2">
        <f t="shared" si="0"/>
        <v>0.89690721649484539</v>
      </c>
      <c r="C16" s="2">
        <f t="shared" si="1"/>
        <v>0.93814432989690721</v>
      </c>
      <c r="D16" s="2">
        <f t="shared" si="2"/>
        <v>0.91752577319587625</v>
      </c>
      <c r="E16" s="2">
        <f>IFERROR((Sites!G16 + SUMIFS(Questions!$F$2:$F$36, Questions!$A$2:$A$36, A16))/$H16, "---")</f>
        <v>0.95876288659793818</v>
      </c>
      <c r="F16" s="2">
        <f t="shared" si="3"/>
        <v>0.91752577319587625</v>
      </c>
      <c r="G16" s="94">
        <v>87</v>
      </c>
      <c r="H16" s="94">
        <v>97</v>
      </c>
      <c r="I16" s="15">
        <f xml:space="preserve"> SUMIFS(Questions!$F$2:$F$36, Questions!$A$2:$A$36, Sites!$A16, Questions!C$2:C$36, TRUE) + $G16</f>
        <v>91</v>
      </c>
      <c r="J16" s="15">
        <f xml:space="preserve"> SUMIFS(Questions!$F$2:$F$36, Questions!$A$2:$A$36, Sites!$A16, Questions!D$2:D$36, TRUE) + $G16</f>
        <v>89</v>
      </c>
      <c r="K16" s="15">
        <f xml:space="preserve"> SUMIFS(Questions!$F$2:$F$36, Questions!$A$2:$A$36, Sites!$A16, Questions!E$2:E$36, TRUE) + $G16</f>
        <v>89</v>
      </c>
      <c r="L16" s="15">
        <f xml:space="preserve"> COUNTIF(Questions!$A$2:$A$36, A16)</f>
        <v>3</v>
      </c>
      <c r="M16" s="15">
        <f>COUNTIFS(Questions!$A$2:$A$36, $A16, Questions!C$2:C$36, TRUE)</f>
        <v>2</v>
      </c>
      <c r="N16" s="15">
        <f>COUNTIFS(Questions!$A$2:$A$36, $A16, Questions!D$2:D$36, TRUE)</f>
        <v>1</v>
      </c>
      <c r="O16" s="4">
        <f>COUNTIFS(Questions!$A$2:$A$36, $A16, Questions!E$2:E$36, TRUE)</f>
        <v>1</v>
      </c>
    </row>
    <row r="17" spans="1:15" x14ac:dyDescent="0.3">
      <c r="A17" s="1">
        <v>15</v>
      </c>
      <c r="B17" s="2">
        <f t="shared" si="0"/>
        <v>0.97777777777777775</v>
      </c>
      <c r="C17" s="2">
        <f t="shared" si="1"/>
        <v>1</v>
      </c>
      <c r="D17" s="2">
        <f t="shared" si="2"/>
        <v>1</v>
      </c>
      <c r="E17" s="2">
        <f>IFERROR((Sites!G17 + SUMIFS(Questions!$F$2:$F$36, Questions!$A$2:$A$36, A17))/$H17, "---")</f>
        <v>1</v>
      </c>
      <c r="F17" s="2">
        <f t="shared" si="3"/>
        <v>1</v>
      </c>
      <c r="G17" s="94">
        <v>88</v>
      </c>
      <c r="H17" s="94">
        <v>90</v>
      </c>
      <c r="I17" s="15">
        <f xml:space="preserve"> SUMIFS(Questions!$F$2:$F$36, Questions!$A$2:$A$36, Sites!$A17, Questions!C$2:C$36, TRUE) + $G17</f>
        <v>90</v>
      </c>
      <c r="J17" s="15">
        <f xml:space="preserve"> SUMIFS(Questions!$F$2:$F$36, Questions!$A$2:$A$36, Sites!$A17, Questions!D$2:D$36, TRUE) + $G17</f>
        <v>90</v>
      </c>
      <c r="K17" s="15">
        <f xml:space="preserve"> SUMIFS(Questions!$F$2:$F$36, Questions!$A$2:$A$36, Sites!$A17, Questions!E$2:E$36, TRUE) + $G17</f>
        <v>90</v>
      </c>
      <c r="L17" s="15">
        <f xml:space="preserve"> COUNTIF(Questions!$A$2:$A$36, A17)</f>
        <v>1</v>
      </c>
      <c r="M17" s="15">
        <f>COUNTIFS(Questions!$A$2:$A$36, $A17, Questions!C$2:C$36, TRUE)</f>
        <v>1</v>
      </c>
      <c r="N17" s="15">
        <f>COUNTIFS(Questions!$A$2:$A$36, $A17, Questions!D$2:D$36, TRUE)</f>
        <v>1</v>
      </c>
      <c r="O17" s="4">
        <f>COUNTIFS(Questions!$A$2:$A$36, $A17, Questions!E$2:E$36, TRUE)</f>
        <v>1</v>
      </c>
    </row>
    <row r="18" spans="1:15" x14ac:dyDescent="0.3">
      <c r="A18" s="1">
        <v>16</v>
      </c>
      <c r="B18" s="2" t="str">
        <f t="shared" si="0"/>
        <v>---</v>
      </c>
      <c r="C18" s="2" t="str">
        <f t="shared" si="1"/>
        <v>---</v>
      </c>
      <c r="D18" s="2" t="str">
        <f t="shared" si="2"/>
        <v>---</v>
      </c>
      <c r="E18" s="2" t="str">
        <f>IFERROR((Sites!G18 + SUMIFS(Questions!$F$2:$F$36, Questions!$A$2:$A$36, A18))/$H18, "---")</f>
        <v>---</v>
      </c>
      <c r="F18" s="2" t="str">
        <f t="shared" si="3"/>
        <v>---</v>
      </c>
      <c r="G18" s="94"/>
      <c r="H18" s="94"/>
      <c r="I18" s="15">
        <f xml:space="preserve"> SUMIFS(Questions!$F$2:$F$36, Questions!$A$2:$A$36, Sites!$A18, Questions!C$2:C$36, TRUE) + $G18</f>
        <v>0</v>
      </c>
      <c r="J18" s="15">
        <f xml:space="preserve"> SUMIFS(Questions!$F$2:$F$36, Questions!$A$2:$A$36, Sites!$A18, Questions!D$2:D$36, TRUE) + $G18</f>
        <v>0</v>
      </c>
      <c r="K18" s="15">
        <f xml:space="preserve"> SUMIFS(Questions!$F$2:$F$36, Questions!$A$2:$A$36, Sites!$A18, Questions!E$2:E$36, TRUE) + $G18</f>
        <v>0</v>
      </c>
      <c r="L18" s="15">
        <f xml:space="preserve"> COUNTIF(Questions!$A$2:$A$36, A18)</f>
        <v>0</v>
      </c>
      <c r="M18" s="15">
        <f>COUNTIFS(Questions!$A$2:$A$36, $A18, Questions!C$2:C$36, TRUE)</f>
        <v>0</v>
      </c>
      <c r="N18" s="15">
        <f>COUNTIFS(Questions!$A$2:$A$36, $A18, Questions!D$2:D$36, TRUE)</f>
        <v>0</v>
      </c>
      <c r="O18" s="4">
        <f>COUNTIFS(Questions!$A$2:$A$36, $A18, Questions!E$2:E$36, TRUE)</f>
        <v>0</v>
      </c>
    </row>
    <row r="19" spans="1:15" x14ac:dyDescent="0.3">
      <c r="A19" s="1">
        <v>17</v>
      </c>
      <c r="B19" s="2">
        <f t="shared" si="0"/>
        <v>0.77</v>
      </c>
      <c r="C19" s="2">
        <f t="shared" si="1"/>
        <v>0.81</v>
      </c>
      <c r="D19" s="2">
        <f t="shared" si="2"/>
        <v>0.81</v>
      </c>
      <c r="E19" s="2">
        <f>IFERROR((Sites!G19 + SUMIFS(Questions!$F$2:$F$36, Questions!$A$2:$A$36, A19))/$H19, "---")</f>
        <v>0.92</v>
      </c>
      <c r="F19" s="2">
        <f t="shared" si="3"/>
        <v>0.79</v>
      </c>
      <c r="G19" s="94">
        <v>77</v>
      </c>
      <c r="H19" s="94">
        <v>100</v>
      </c>
      <c r="I19" s="15">
        <f xml:space="preserve"> SUMIFS(Questions!$F$2:$F$36, Questions!$A$2:$A$36, Sites!$A19, Questions!C$2:C$36, TRUE) + $G19</f>
        <v>81</v>
      </c>
      <c r="J19" s="15">
        <f xml:space="preserve"> SUMIFS(Questions!$F$2:$F$36, Questions!$A$2:$A$36, Sites!$A19, Questions!D$2:D$36, TRUE) + $G19</f>
        <v>81</v>
      </c>
      <c r="K19" s="15">
        <f xml:space="preserve"> SUMIFS(Questions!$F$2:$F$36, Questions!$A$2:$A$36, Sites!$A19, Questions!E$2:E$36, TRUE) + $G19</f>
        <v>79</v>
      </c>
      <c r="L19" s="15">
        <f xml:space="preserve"> COUNTIF(Questions!$A$2:$A$36, A19)</f>
        <v>4</v>
      </c>
      <c r="M19" s="15">
        <f>COUNTIFS(Questions!$A$2:$A$36, $A19, Questions!C$2:C$36, TRUE)</f>
        <v>2</v>
      </c>
      <c r="N19" s="15">
        <f>COUNTIFS(Questions!$A$2:$A$36, $A19, Questions!D$2:D$36, TRUE)</f>
        <v>2</v>
      </c>
      <c r="O19" s="4">
        <f>COUNTIFS(Questions!$A$2:$A$36, $A19, Questions!E$2:E$36, TRUE)</f>
        <v>1</v>
      </c>
    </row>
    <row r="20" spans="1:15" x14ac:dyDescent="0.3">
      <c r="A20" s="1">
        <v>18</v>
      </c>
      <c r="B20" s="2">
        <f t="shared" si="0"/>
        <v>0.94444444444444442</v>
      </c>
      <c r="C20" s="2">
        <f t="shared" si="1"/>
        <v>0.94444444444444442</v>
      </c>
      <c r="D20" s="2">
        <f t="shared" si="2"/>
        <v>0.94444444444444442</v>
      </c>
      <c r="E20" s="2">
        <f>IFERROR((Sites!G20 + SUMIFS(Questions!$F$2:$F$36, Questions!$A$2:$A$36, A20))/$H20, "---")</f>
        <v>0.94444444444444442</v>
      </c>
      <c r="F20" s="2">
        <f t="shared" si="3"/>
        <v>0.94444444444444442</v>
      </c>
      <c r="G20" s="94">
        <v>85</v>
      </c>
      <c r="H20" s="94">
        <v>90</v>
      </c>
      <c r="I20" s="15">
        <f xml:space="preserve"> SUMIFS(Questions!$F$2:$F$36, Questions!$A$2:$A$36, Sites!$A20, Questions!C$2:C$36, TRUE) + $G20</f>
        <v>85</v>
      </c>
      <c r="J20" s="15">
        <f xml:space="preserve"> SUMIFS(Questions!$F$2:$F$36, Questions!$A$2:$A$36, Sites!$A20, Questions!D$2:D$36, TRUE) + $G20</f>
        <v>85</v>
      </c>
      <c r="K20" s="15">
        <f xml:space="preserve"> SUMIFS(Questions!$F$2:$F$36, Questions!$A$2:$A$36, Sites!$A20, Questions!E$2:E$36, TRUE) + $G20</f>
        <v>85</v>
      </c>
      <c r="L20" s="15">
        <f xml:space="preserve"> COUNTIF(Questions!$A$2:$A$36, A20)</f>
        <v>0</v>
      </c>
      <c r="M20" s="15">
        <f>COUNTIFS(Questions!$A$2:$A$36, $A20, Questions!C$2:C$36, TRUE)</f>
        <v>0</v>
      </c>
      <c r="N20" s="15">
        <f>COUNTIFS(Questions!$A$2:$A$36, $A20, Questions!D$2:D$36, TRUE)</f>
        <v>0</v>
      </c>
      <c r="O20" s="4">
        <f>COUNTIFS(Questions!$A$2:$A$36, $A20, Questions!E$2:E$36, TRUE)</f>
        <v>0</v>
      </c>
    </row>
    <row r="21" spans="1:15" x14ac:dyDescent="0.3">
      <c r="A21" s="1">
        <v>19</v>
      </c>
      <c r="B21" s="2">
        <f t="shared" si="0"/>
        <v>0.8666666666666667</v>
      </c>
      <c r="C21" s="2">
        <f t="shared" si="1"/>
        <v>0.88888888888888884</v>
      </c>
      <c r="D21" s="2">
        <f t="shared" si="2"/>
        <v>0.88888888888888884</v>
      </c>
      <c r="E21" s="2">
        <f>IFERROR((Sites!G21 + SUMIFS(Questions!$F$2:$F$36, Questions!$A$2:$A$36, A21))/$H21, "---")</f>
        <v>1</v>
      </c>
      <c r="F21" s="2">
        <f t="shared" si="3"/>
        <v>0.88888888888888884</v>
      </c>
      <c r="G21" s="94">
        <v>78</v>
      </c>
      <c r="H21" s="94">
        <v>90</v>
      </c>
      <c r="I21" s="15">
        <f xml:space="preserve"> SUMIFS(Questions!$F$2:$F$36, Questions!$A$2:$A$36, Sites!$A21, Questions!C$2:C$36, TRUE) + $G21</f>
        <v>80</v>
      </c>
      <c r="J21" s="15">
        <f xml:space="preserve"> SUMIFS(Questions!$F$2:$F$36, Questions!$A$2:$A$36, Sites!$A21, Questions!D$2:D$36, TRUE) + $G21</f>
        <v>80</v>
      </c>
      <c r="K21" s="15">
        <f xml:space="preserve"> SUMIFS(Questions!$F$2:$F$36, Questions!$A$2:$A$36, Sites!$A21, Questions!E$2:E$36, TRUE) + $G21</f>
        <v>80</v>
      </c>
      <c r="L21" s="15">
        <f xml:space="preserve"> COUNTIF(Questions!$A$2:$A$36, A21)</f>
        <v>3</v>
      </c>
      <c r="M21" s="15">
        <f>COUNTIFS(Questions!$A$2:$A$36, $A21, Questions!C$2:C$36, TRUE)</f>
        <v>1</v>
      </c>
      <c r="N21" s="15">
        <f>COUNTIFS(Questions!$A$2:$A$36, $A21, Questions!D$2:D$36, TRUE)</f>
        <v>1</v>
      </c>
      <c r="O21" s="4">
        <f>COUNTIFS(Questions!$A$2:$A$36, $A21, Questions!E$2:E$36, TRUE)</f>
        <v>1</v>
      </c>
    </row>
    <row r="22" spans="1:15" x14ac:dyDescent="0.3">
      <c r="A22" s="1">
        <v>20</v>
      </c>
      <c r="B22" s="2">
        <f t="shared" si="0"/>
        <v>0.9</v>
      </c>
      <c r="C22" s="2">
        <f t="shared" si="1"/>
        <v>0.9</v>
      </c>
      <c r="D22" s="2">
        <f t="shared" si="2"/>
        <v>0.9</v>
      </c>
      <c r="E22" s="2">
        <f>IFERROR((Sites!G22 + SUMIFS(Questions!$F$2:$F$36, Questions!$A$2:$A$36, A22))/$H22, "---")</f>
        <v>0.9</v>
      </c>
      <c r="F22" s="2">
        <f t="shared" si="3"/>
        <v>0.9</v>
      </c>
      <c r="G22" s="94">
        <v>90</v>
      </c>
      <c r="H22" s="94">
        <v>100</v>
      </c>
      <c r="I22" s="15">
        <f xml:space="preserve"> SUMIFS(Questions!$F$2:$F$36, Questions!$A$2:$A$36, Sites!$A22, Questions!C$2:C$36, TRUE) + $G22</f>
        <v>90</v>
      </c>
      <c r="J22" s="15">
        <f xml:space="preserve"> SUMIFS(Questions!$F$2:$F$36, Questions!$A$2:$A$36, Sites!$A22, Questions!D$2:D$36, TRUE) + $G22</f>
        <v>90</v>
      </c>
      <c r="K22" s="15">
        <f xml:space="preserve"> SUMIFS(Questions!$F$2:$F$36, Questions!$A$2:$A$36, Sites!$A22, Questions!E$2:E$36, TRUE) + $G22</f>
        <v>90</v>
      </c>
      <c r="L22" s="15">
        <f xml:space="preserve"> COUNTIF(Questions!$A$2:$A$36, A22)</f>
        <v>0</v>
      </c>
      <c r="M22" s="15">
        <f>COUNTIFS(Questions!$A$2:$A$36, $A22, Questions!C$2:C$36, TRUE)</f>
        <v>0</v>
      </c>
      <c r="N22" s="15">
        <f>COUNTIFS(Questions!$A$2:$A$36, $A22, Questions!D$2:D$36, TRUE)</f>
        <v>0</v>
      </c>
      <c r="O22" s="4">
        <f>COUNTIFS(Questions!$A$2:$A$36, $A22, Questions!E$2:E$36, TRUE)</f>
        <v>0</v>
      </c>
    </row>
    <row r="23" spans="1:15" x14ac:dyDescent="0.3">
      <c r="A23" s="1">
        <v>21</v>
      </c>
      <c r="B23" s="2">
        <f t="shared" si="0"/>
        <v>0.93</v>
      </c>
      <c r="C23" s="2">
        <f t="shared" si="1"/>
        <v>0.95</v>
      </c>
      <c r="D23" s="2">
        <f t="shared" si="2"/>
        <v>0.95</v>
      </c>
      <c r="E23" s="2">
        <f>IFERROR((Sites!G23 + SUMIFS(Questions!$F$2:$F$36, Questions!$A$2:$A$36, A23))/$H23, "---")</f>
        <v>0.95</v>
      </c>
      <c r="F23" s="2">
        <f t="shared" si="3"/>
        <v>0.95</v>
      </c>
      <c r="G23" s="94">
        <v>93</v>
      </c>
      <c r="H23" s="94">
        <v>100</v>
      </c>
      <c r="I23" s="15">
        <f xml:space="preserve"> SUMIFS(Questions!$F$2:$F$36, Questions!$A$2:$A$36, Sites!$A23, Questions!C$2:C$36, TRUE) + $G23</f>
        <v>95</v>
      </c>
      <c r="J23" s="15">
        <f xml:space="preserve"> SUMIFS(Questions!$F$2:$F$36, Questions!$A$2:$A$36, Sites!$A23, Questions!D$2:D$36, TRUE) + $G23</f>
        <v>95</v>
      </c>
      <c r="K23" s="15">
        <f xml:space="preserve"> SUMIFS(Questions!$F$2:$F$36, Questions!$A$2:$A$36, Sites!$A23, Questions!E$2:E$36, TRUE) + $G23</f>
        <v>95</v>
      </c>
      <c r="L23" s="15">
        <f xml:space="preserve"> COUNTIF(Questions!$A$2:$A$36, A23)</f>
        <v>1</v>
      </c>
      <c r="M23" s="15">
        <f>COUNTIFS(Questions!$A$2:$A$36, $A23, Questions!C$2:C$36, TRUE)</f>
        <v>1</v>
      </c>
      <c r="N23" s="15">
        <f>COUNTIFS(Questions!$A$2:$A$36, $A23, Questions!D$2:D$36, TRUE)</f>
        <v>1</v>
      </c>
      <c r="O23" s="4">
        <f>COUNTIFS(Questions!$A$2:$A$36, $A23, Questions!E$2:E$36, TRUE)</f>
        <v>1</v>
      </c>
    </row>
    <row r="24" spans="1:15" x14ac:dyDescent="0.3">
      <c r="A24" s="1">
        <v>22</v>
      </c>
      <c r="B24" s="2">
        <f t="shared" si="0"/>
        <v>1</v>
      </c>
      <c r="C24" s="2">
        <f t="shared" si="1"/>
        <v>1</v>
      </c>
      <c r="D24" s="2">
        <f t="shared" si="2"/>
        <v>1</v>
      </c>
      <c r="E24" s="2">
        <f>IFERROR((Sites!G24 + SUMIFS(Questions!$F$2:$F$36, Questions!$A$2:$A$36, A24))/$H24, "---")</f>
        <v>1</v>
      </c>
      <c r="F24" s="2">
        <f t="shared" si="3"/>
        <v>1</v>
      </c>
      <c r="G24" s="96">
        <v>100</v>
      </c>
      <c r="H24" s="96">
        <v>100</v>
      </c>
      <c r="I24" s="15">
        <f xml:space="preserve"> SUMIFS(Questions!$F$2:$F$36, Questions!$A$2:$A$36, Sites!$A24, Questions!C$2:C$36, TRUE) + $G24</f>
        <v>100</v>
      </c>
      <c r="J24" s="15">
        <f xml:space="preserve"> SUMIFS(Questions!$F$2:$F$36, Questions!$A$2:$A$36, Sites!$A24, Questions!D$2:D$36, TRUE) + $G24</f>
        <v>100</v>
      </c>
      <c r="K24" s="15">
        <f xml:space="preserve"> SUMIFS(Questions!$F$2:$F$36, Questions!$A$2:$A$36, Sites!$A24, Questions!E$2:E$36, TRUE) + $G24</f>
        <v>100</v>
      </c>
      <c r="L24" s="15">
        <f xml:space="preserve"> COUNTIF(Questions!$A$2:$A$36, A24)</f>
        <v>0</v>
      </c>
      <c r="M24" s="15">
        <f>COUNTIFS(Questions!$A$2:$A$36, $A24, Questions!C$2:C$36, TRUE)</f>
        <v>0</v>
      </c>
      <c r="N24" s="15">
        <f>COUNTIFS(Questions!$A$2:$A$36, $A24, Questions!D$2:D$36, TRUE)</f>
        <v>0</v>
      </c>
      <c r="O24" s="4">
        <f>COUNTIFS(Questions!$A$2:$A$36, $A24, Questions!E$2:E$36, TRUE)</f>
        <v>0</v>
      </c>
    </row>
    <row r="25" spans="1:15" x14ac:dyDescent="0.3">
      <c r="A25" s="66" t="s">
        <v>5</v>
      </c>
      <c r="B25" s="11">
        <f>_xlfn.AGGREGATE(1, 6, B3:B24)</f>
        <v>0.89345723538429112</v>
      </c>
      <c r="C25" s="11">
        <f>_xlfn.AGGREGATE(1, 6, C3:C24)</f>
        <v>0.91865545469075793</v>
      </c>
      <c r="D25" s="11">
        <f>_xlfn.AGGREGATE(1, 6, D3:D24)</f>
        <v>0.91612452685570633</v>
      </c>
      <c r="E25" s="11">
        <f>_xlfn.AGGREGATE(1, 6, E3:E24)</f>
        <v>0.94340860474803157</v>
      </c>
      <c r="F25" s="11">
        <f>_xlfn.AGGREGATE(1, 6, F3:F24)</f>
        <v>0.91512452685570644</v>
      </c>
      <c r="G25" s="92"/>
      <c r="H25" s="93"/>
      <c r="I25" s="12"/>
      <c r="J25" s="12"/>
      <c r="K25" s="68" t="s">
        <v>6</v>
      </c>
      <c r="L25" s="12">
        <f t="shared" ref="L25:N25" si="4">SUM(L3:L24)</f>
        <v>35</v>
      </c>
      <c r="M25" s="12">
        <f t="shared" si="4"/>
        <v>22</v>
      </c>
      <c r="N25" s="12">
        <f t="shared" si="4"/>
        <v>20</v>
      </c>
      <c r="O25" s="13">
        <f>SUM(O3:O24)</f>
        <v>19</v>
      </c>
    </row>
    <row r="26" spans="1:15" x14ac:dyDescent="0.3">
      <c r="A26" s="67" t="s">
        <v>14</v>
      </c>
      <c r="B26" s="3">
        <f>_xlfn.AGGREGATE(5, 6, B4:B24)</f>
        <v>0.65555555555555556</v>
      </c>
      <c r="C26" s="3">
        <f>_xlfn.AGGREGATE(5, 6, C4:C24)</f>
        <v>0.76666666666666672</v>
      </c>
      <c r="D26" s="3">
        <f>_xlfn.AGGREGATE(5, 6, D4:D24)</f>
        <v>0.76666666666666672</v>
      </c>
      <c r="E26" s="3">
        <f>_xlfn.AGGREGATE(5, 6, E4:E24)</f>
        <v>0.85</v>
      </c>
      <c r="F26" s="3">
        <f>_xlfn.AGGREGATE(5, 6, F4:F24)</f>
        <v>0.76666666666666672</v>
      </c>
      <c r="G26" s="7"/>
      <c r="H26" s="8"/>
      <c r="I26" s="7"/>
      <c r="J26" s="7"/>
      <c r="K26" s="7"/>
      <c r="L26" s="8"/>
      <c r="M26" s="7"/>
      <c r="N26" s="7"/>
      <c r="O26" s="9"/>
    </row>
    <row r="27" spans="1:15" x14ac:dyDescent="0.3">
      <c r="A27" s="66" t="s">
        <v>45</v>
      </c>
      <c r="B27" s="21" cm="1">
        <f t="array" ref="B27" xml:space="preserve"> _xlfn.XLOOKUP(LEFT(B26, 5), LEFT(B$3:B$24, 5), $A$3:$A$24)</f>
        <v>11</v>
      </c>
      <c r="C27" s="21" cm="1">
        <f t="array" ref="C27" xml:space="preserve"> _xlfn.XLOOKUP(LEFT(C26, 5), LEFT(C$3:C$24, 5), $A$3:$A$24)</f>
        <v>11</v>
      </c>
      <c r="D27" s="21" cm="1">
        <f t="array" ref="D27" xml:space="preserve"> _xlfn.XLOOKUP(LEFT(D26, 5), LEFT(D$3:D$24, 5), $A$3:$A$24)</f>
        <v>11</v>
      </c>
      <c r="E27" s="21" cm="1">
        <f t="array" ref="E27" xml:space="preserve"> _xlfn.XLOOKUP(LEFT(E26, 5), LEFT(E$3:E$24, 5), $A$3:$A$24)</f>
        <v>13</v>
      </c>
      <c r="F27" s="21" cm="1">
        <f t="array" ref="F27" xml:space="preserve"> _xlfn.XLOOKUP(LEFT(F26, 5), LEFT(F$3:F$24, 5), $A$3:$A$24)</f>
        <v>11</v>
      </c>
      <c r="G27" s="18"/>
      <c r="H27" s="19"/>
      <c r="I27" s="18"/>
      <c r="J27" s="18"/>
      <c r="K27" s="18"/>
      <c r="L27" s="19"/>
      <c r="M27" s="18"/>
      <c r="N27" s="18"/>
      <c r="O27" s="20"/>
    </row>
    <row r="29" spans="1:15" ht="14.4" customHeight="1" x14ac:dyDescent="0.3"/>
    <row r="30" spans="1:15" ht="14.4" customHeight="1" x14ac:dyDescent="0.3">
      <c r="N30" s="10"/>
    </row>
    <row r="31" spans="1:15" ht="14.4" customHeight="1" x14ac:dyDescent="0.3"/>
    <row r="32" spans="1:15" ht="14.4" customHeight="1" x14ac:dyDescent="0.3"/>
  </sheetData>
  <sortState xmlns:xlrd2="http://schemas.microsoft.com/office/spreadsheetml/2017/richdata2" ref="A3:O24">
    <sortCondition ref="A3:A24"/>
  </sortState>
  <mergeCells count="1">
    <mergeCell ref="A1:O1"/>
  </mergeCells>
  <conditionalFormatting sqref="A3:F24">
    <cfRule type="expression" dxfId="7" priority="2">
      <formula>$G3=""</formula>
    </cfRule>
  </conditionalFormatting>
  <conditionalFormatting sqref="B3:F24">
    <cfRule type="cellIs" dxfId="6" priority="1" operator="lessThan">
      <formula>0.85</formula>
    </cfRule>
  </conditionalFormatting>
  <pageMargins left="0.7" right="0.7" top="0.75" bottom="0.75" header="0.3" footer="0.3"/>
  <pageSetup scale="88" orientation="landscape"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42892CE-4011-4982-9224-0B883DBFFAC1}">
  <sheetPr codeName="Sheet3">
    <pageSetUpPr fitToPage="1"/>
  </sheetPr>
  <dimension ref="A1:G36"/>
  <sheetViews>
    <sheetView zoomScale="72" zoomScaleNormal="152" workbookViewId="0">
      <selection activeCell="K20" sqref="K20"/>
    </sheetView>
  </sheetViews>
  <sheetFormatPr defaultRowHeight="14.4" x14ac:dyDescent="0.3"/>
  <cols>
    <col min="1" max="1" width="7.109375" bestFit="1" customWidth="1"/>
    <col min="2" max="2" width="9.77734375" bestFit="1" customWidth="1"/>
    <col min="3" max="5" width="11.77734375" customWidth="1"/>
    <col min="6" max="6" width="5.77734375" bestFit="1" customWidth="1"/>
    <col min="7" max="7" width="76.77734375" bestFit="1" customWidth="1"/>
  </cols>
  <sheetData>
    <row r="1" spans="1:7" x14ac:dyDescent="0.3">
      <c r="A1" s="69" t="s">
        <v>0</v>
      </c>
      <c r="B1" s="70" t="s">
        <v>7</v>
      </c>
      <c r="C1" s="70" t="s">
        <v>94</v>
      </c>
      <c r="D1" s="70" t="s">
        <v>8</v>
      </c>
      <c r="E1" s="70" t="s">
        <v>42</v>
      </c>
      <c r="F1" s="70" t="s">
        <v>16</v>
      </c>
      <c r="G1" s="71" t="s">
        <v>13</v>
      </c>
    </row>
    <row r="2" spans="1:7" x14ac:dyDescent="0.3">
      <c r="A2" s="1">
        <v>4</v>
      </c>
      <c r="B2">
        <v>7</v>
      </c>
      <c r="C2" s="54" t="b">
        <v>0</v>
      </c>
      <c r="D2" s="55" t="b">
        <v>0</v>
      </c>
      <c r="E2" s="56" t="b">
        <v>0</v>
      </c>
      <c r="F2">
        <v>8</v>
      </c>
      <c r="G2" s="16" t="s">
        <v>72</v>
      </c>
    </row>
    <row r="3" spans="1:7" x14ac:dyDescent="0.3">
      <c r="A3" s="1">
        <v>4</v>
      </c>
      <c r="B3">
        <v>10</v>
      </c>
      <c r="C3" s="57" t="b">
        <v>1</v>
      </c>
      <c r="D3" s="58" t="b">
        <v>1</v>
      </c>
      <c r="E3" s="59" t="b">
        <v>1</v>
      </c>
      <c r="F3">
        <v>2</v>
      </c>
      <c r="G3" s="16" t="s">
        <v>73</v>
      </c>
    </row>
    <row r="4" spans="1:7" x14ac:dyDescent="0.3">
      <c r="A4" s="1">
        <v>4</v>
      </c>
      <c r="B4">
        <v>23</v>
      </c>
      <c r="C4" s="57" t="b">
        <v>1</v>
      </c>
      <c r="D4" s="58" t="b">
        <v>1</v>
      </c>
      <c r="E4" s="59" t="b">
        <v>1</v>
      </c>
      <c r="F4">
        <v>2</v>
      </c>
      <c r="G4" s="16" t="s">
        <v>23</v>
      </c>
    </row>
    <row r="5" spans="1:7" x14ac:dyDescent="0.3">
      <c r="A5" s="1">
        <v>5</v>
      </c>
      <c r="B5">
        <v>13</v>
      </c>
      <c r="C5" s="57" t="b">
        <v>0</v>
      </c>
      <c r="D5" s="58" t="b">
        <v>0</v>
      </c>
      <c r="E5" s="59" t="b">
        <v>0</v>
      </c>
      <c r="F5">
        <f>_xlfn.XLOOKUP(B5, 'Question Values'!$A$2:$A$38, 'Question Values'!$B$2:$B$38)</f>
        <v>2</v>
      </c>
      <c r="G5" s="16" t="s">
        <v>87</v>
      </c>
    </row>
    <row r="6" spans="1:7" x14ac:dyDescent="0.3">
      <c r="A6" s="1">
        <v>5</v>
      </c>
      <c r="B6">
        <v>23</v>
      </c>
      <c r="C6" s="57" t="b">
        <v>1</v>
      </c>
      <c r="D6" s="58" t="b">
        <v>1</v>
      </c>
      <c r="E6" s="59" t="b">
        <v>1</v>
      </c>
      <c r="F6">
        <f>_xlfn.XLOOKUP(B6, 'Question Values'!$A$2:$A$38, 'Question Values'!$B$2:$B$38)</f>
        <v>2</v>
      </c>
      <c r="G6" s="16" t="s">
        <v>19</v>
      </c>
    </row>
    <row r="7" spans="1:7" x14ac:dyDescent="0.3">
      <c r="A7" s="1">
        <v>7</v>
      </c>
      <c r="B7">
        <v>23</v>
      </c>
      <c r="C7" s="57" t="b">
        <v>1</v>
      </c>
      <c r="D7" s="58" t="b">
        <v>1</v>
      </c>
      <c r="E7" s="59" t="b">
        <v>1</v>
      </c>
      <c r="F7">
        <f>_xlfn.XLOOKUP(B7, 'Question Values'!$A$2:$A$38, 'Question Values'!$B$2:$B$38)</f>
        <v>2</v>
      </c>
      <c r="G7" s="16" t="s">
        <v>23</v>
      </c>
    </row>
    <row r="8" spans="1:7" x14ac:dyDescent="0.3">
      <c r="A8" s="1">
        <v>8</v>
      </c>
      <c r="B8">
        <v>10</v>
      </c>
      <c r="C8" s="57" t="b">
        <v>1</v>
      </c>
      <c r="D8" s="58" t="b">
        <v>1</v>
      </c>
      <c r="E8" s="59" t="b">
        <v>1</v>
      </c>
      <c r="F8">
        <f>_xlfn.XLOOKUP(B8, 'Question Values'!$A$2:$A$38, 'Question Values'!$B$2:$B$38)</f>
        <v>2</v>
      </c>
      <c r="G8" s="16" t="s">
        <v>80</v>
      </c>
    </row>
    <row r="9" spans="1:7" x14ac:dyDescent="0.3">
      <c r="A9" s="1">
        <v>8</v>
      </c>
      <c r="B9">
        <v>23</v>
      </c>
      <c r="C9" s="57" t="b">
        <v>1</v>
      </c>
      <c r="D9" s="58" t="b">
        <v>1</v>
      </c>
      <c r="E9" s="59" t="b">
        <v>1</v>
      </c>
      <c r="F9">
        <f>_xlfn.XLOOKUP(B9, 'Question Values'!$A$2:$A$38, 'Question Values'!$B$2:$B$38)</f>
        <v>2</v>
      </c>
      <c r="G9" s="16" t="s">
        <v>19</v>
      </c>
    </row>
    <row r="10" spans="1:7" x14ac:dyDescent="0.3">
      <c r="A10" s="1">
        <v>9</v>
      </c>
      <c r="B10">
        <v>4</v>
      </c>
      <c r="C10" s="57" t="b">
        <v>0</v>
      </c>
      <c r="D10" s="58" t="b">
        <v>0</v>
      </c>
      <c r="E10" s="59" t="b">
        <v>0</v>
      </c>
      <c r="F10">
        <f>_xlfn.XLOOKUP(B10, 'Question Values'!$A$2:$A$38, 'Question Values'!$B$2:$B$38)</f>
        <v>1</v>
      </c>
      <c r="G10" s="16" t="s">
        <v>30</v>
      </c>
    </row>
    <row r="11" spans="1:7" x14ac:dyDescent="0.3">
      <c r="A11" s="1">
        <v>9</v>
      </c>
      <c r="B11">
        <v>8</v>
      </c>
      <c r="C11" s="57" t="b">
        <v>1</v>
      </c>
      <c r="D11" s="58" t="b">
        <v>1</v>
      </c>
      <c r="E11" s="59" t="b">
        <v>1</v>
      </c>
      <c r="F11">
        <f>_xlfn.XLOOKUP(B11, 'Question Values'!$A$2:$A$38, 'Question Values'!$B$2:$B$38)</f>
        <v>2</v>
      </c>
      <c r="G11" s="16" t="s">
        <v>83</v>
      </c>
    </row>
    <row r="12" spans="1:7" x14ac:dyDescent="0.3">
      <c r="A12" s="1">
        <v>9</v>
      </c>
      <c r="B12">
        <v>10</v>
      </c>
      <c r="C12" s="57" t="b">
        <v>1</v>
      </c>
      <c r="D12" s="58" t="b">
        <v>1</v>
      </c>
      <c r="E12" s="59" t="b">
        <v>1</v>
      </c>
      <c r="F12">
        <f>_xlfn.XLOOKUP(B12, 'Question Values'!$A$2:$A$38, 'Question Values'!$B$2:$B$38)</f>
        <v>2</v>
      </c>
      <c r="G12" s="16" t="s">
        <v>84</v>
      </c>
    </row>
    <row r="13" spans="1:7" x14ac:dyDescent="0.3">
      <c r="A13" s="1">
        <v>9</v>
      </c>
      <c r="B13">
        <v>23</v>
      </c>
      <c r="C13" s="57" t="b">
        <v>1</v>
      </c>
      <c r="D13" s="58" t="b">
        <v>1</v>
      </c>
      <c r="E13" s="59" t="b">
        <v>1</v>
      </c>
      <c r="F13">
        <f>_xlfn.XLOOKUP(B13, 'Question Values'!$A$2:$A$38, 'Question Values'!$B$2:$B$38)</f>
        <v>2</v>
      </c>
      <c r="G13" s="16" t="s">
        <v>85</v>
      </c>
    </row>
    <row r="14" spans="1:7" x14ac:dyDescent="0.3">
      <c r="A14" s="1">
        <v>11</v>
      </c>
      <c r="B14">
        <v>1</v>
      </c>
      <c r="C14" s="57" t="b">
        <v>1</v>
      </c>
      <c r="D14" s="58" t="b">
        <v>1</v>
      </c>
      <c r="E14" s="59" t="b">
        <v>1</v>
      </c>
      <c r="F14">
        <f>_xlfn.XLOOKUP(B14, 'Question Values'!$A$2:$A$38, 'Question Values'!$B$2:$B$38)</f>
        <v>6</v>
      </c>
      <c r="G14" s="16" t="s">
        <v>21</v>
      </c>
    </row>
    <row r="15" spans="1:7" x14ac:dyDescent="0.3">
      <c r="A15" s="1">
        <v>11</v>
      </c>
      <c r="B15">
        <v>7</v>
      </c>
      <c r="C15" s="57" t="b">
        <v>0</v>
      </c>
      <c r="D15" s="58" t="b">
        <v>0</v>
      </c>
      <c r="E15" s="59" t="b">
        <v>0</v>
      </c>
      <c r="F15">
        <f>_xlfn.XLOOKUP(B15, 'Question Values'!$A$2:$A$38, 'Question Values'!$B$2:$B$38)</f>
        <v>8</v>
      </c>
      <c r="G15" s="16" t="s">
        <v>86</v>
      </c>
    </row>
    <row r="16" spans="1:7" x14ac:dyDescent="0.3">
      <c r="A16" s="1">
        <v>11</v>
      </c>
      <c r="B16">
        <v>8</v>
      </c>
      <c r="C16" s="57" t="b">
        <v>0</v>
      </c>
      <c r="D16" s="58" t="b">
        <v>0</v>
      </c>
      <c r="E16" s="59" t="b">
        <v>0</v>
      </c>
      <c r="F16">
        <f>_xlfn.XLOOKUP(B16, 'Question Values'!$A$2:$A$38, 'Question Values'!$B$2:$B$38)</f>
        <v>2</v>
      </c>
      <c r="G16" s="16" t="s">
        <v>22</v>
      </c>
    </row>
    <row r="17" spans="1:7" x14ac:dyDescent="0.3">
      <c r="A17" s="1">
        <v>11</v>
      </c>
      <c r="B17">
        <v>22</v>
      </c>
      <c r="C17" s="57" t="b">
        <v>1</v>
      </c>
      <c r="D17" s="58" t="b">
        <v>1</v>
      </c>
      <c r="E17" s="59" t="b">
        <v>1</v>
      </c>
      <c r="F17">
        <f>_xlfn.XLOOKUP(B17, 'Question Values'!$A$2:$A$38, 'Question Values'!$B$2:$B$38)</f>
        <v>2</v>
      </c>
      <c r="G17" s="16" t="s">
        <v>78</v>
      </c>
    </row>
    <row r="18" spans="1:7" x14ac:dyDescent="0.3">
      <c r="A18" s="1">
        <v>11</v>
      </c>
      <c r="B18">
        <v>23</v>
      </c>
      <c r="C18" s="57" t="b">
        <v>1</v>
      </c>
      <c r="D18" s="58" t="b">
        <v>1</v>
      </c>
      <c r="E18" s="59" t="b">
        <v>1</v>
      </c>
      <c r="F18">
        <f>_xlfn.XLOOKUP(B18, 'Question Values'!$A$2:$A$38, 'Question Values'!$B$2:$B$38)</f>
        <v>2</v>
      </c>
      <c r="G18" s="16" t="s">
        <v>79</v>
      </c>
    </row>
    <row r="19" spans="1:7" x14ac:dyDescent="0.3">
      <c r="A19" s="1">
        <v>12</v>
      </c>
      <c r="B19">
        <v>23</v>
      </c>
      <c r="C19" s="57" t="b">
        <v>1</v>
      </c>
      <c r="D19" s="58" t="b">
        <v>1</v>
      </c>
      <c r="E19" s="59" t="b">
        <v>1</v>
      </c>
      <c r="F19">
        <f>_xlfn.XLOOKUP(B19, 'Question Values'!$A$2:$A$38, 'Question Values'!$B$2:$B$38)</f>
        <v>2</v>
      </c>
      <c r="G19" s="16" t="s">
        <v>18</v>
      </c>
    </row>
    <row r="20" spans="1:7" x14ac:dyDescent="0.3">
      <c r="A20" s="1">
        <v>13</v>
      </c>
      <c r="B20">
        <v>2</v>
      </c>
      <c r="C20" s="57" t="b">
        <v>1</v>
      </c>
      <c r="D20" s="58" t="b">
        <v>0</v>
      </c>
      <c r="E20" s="59" t="b">
        <v>0</v>
      </c>
      <c r="F20">
        <f>_xlfn.XLOOKUP(B20, 'Question Values'!$A$2:$A$38, 'Question Values'!$B$2:$B$38)</f>
        <v>3</v>
      </c>
      <c r="G20" s="16" t="s">
        <v>29</v>
      </c>
    </row>
    <row r="21" spans="1:7" x14ac:dyDescent="0.3">
      <c r="A21" s="1">
        <v>13</v>
      </c>
      <c r="B21">
        <v>3</v>
      </c>
      <c r="C21" s="57" t="b">
        <v>0</v>
      </c>
      <c r="D21" s="58" t="b">
        <v>0</v>
      </c>
      <c r="E21" s="59" t="b">
        <v>0</v>
      </c>
      <c r="F21">
        <f>_xlfn.XLOOKUP(B21, 'Question Values'!$A$2:$A$38, 'Question Values'!$B$2:$B$38)</f>
        <v>1</v>
      </c>
      <c r="G21" s="16" t="s">
        <v>28</v>
      </c>
    </row>
    <row r="22" spans="1:7" x14ac:dyDescent="0.3">
      <c r="A22" s="1">
        <v>13</v>
      </c>
      <c r="B22">
        <v>4</v>
      </c>
      <c r="C22" s="57" t="b">
        <v>0</v>
      </c>
      <c r="D22" s="58" t="b">
        <v>0</v>
      </c>
      <c r="E22" s="59" t="b">
        <v>0</v>
      </c>
      <c r="F22">
        <f>_xlfn.XLOOKUP(B22, 'Question Values'!$A$2:$A$38, 'Question Values'!$B$2:$B$38)</f>
        <v>1</v>
      </c>
      <c r="G22" s="16" t="s">
        <v>27</v>
      </c>
    </row>
    <row r="23" spans="1:7" x14ac:dyDescent="0.3">
      <c r="A23" s="1">
        <v>13</v>
      </c>
      <c r="B23">
        <v>5</v>
      </c>
      <c r="C23" s="57" t="b">
        <v>0</v>
      </c>
      <c r="D23" s="58" t="b">
        <v>0</v>
      </c>
      <c r="E23" s="59" t="b">
        <v>0</v>
      </c>
      <c r="F23">
        <f>_xlfn.XLOOKUP(B23, 'Question Values'!$A$2:$A$38, 'Question Values'!$B$2:$B$38)</f>
        <v>1</v>
      </c>
      <c r="G23" s="16" t="s">
        <v>26</v>
      </c>
    </row>
    <row r="24" spans="1:7" x14ac:dyDescent="0.3">
      <c r="A24" s="1">
        <v>13</v>
      </c>
      <c r="B24">
        <v>24</v>
      </c>
      <c r="C24" s="57" t="b">
        <v>1</v>
      </c>
      <c r="D24" s="58" t="b">
        <v>1</v>
      </c>
      <c r="E24" s="59" t="b">
        <v>1</v>
      </c>
      <c r="F24">
        <f>_xlfn.XLOOKUP(B24, 'Question Values'!$A$2:$A$38, 'Question Values'!$B$2:$B$38)</f>
        <v>1</v>
      </c>
      <c r="G24" s="16" t="s">
        <v>25</v>
      </c>
    </row>
    <row r="25" spans="1:7" x14ac:dyDescent="0.3">
      <c r="A25" s="1">
        <v>14</v>
      </c>
      <c r="B25">
        <v>8</v>
      </c>
      <c r="C25" s="57" t="b">
        <v>0</v>
      </c>
      <c r="D25" s="58" t="b">
        <v>0</v>
      </c>
      <c r="E25" s="59" t="b">
        <v>0</v>
      </c>
      <c r="F25">
        <f>_xlfn.XLOOKUP(B25, 'Question Values'!$A$2:$A$38, 'Question Values'!$B$2:$B$38)</f>
        <v>2</v>
      </c>
      <c r="G25" s="16" t="s">
        <v>74</v>
      </c>
    </row>
    <row r="26" spans="1:7" x14ac:dyDescent="0.3">
      <c r="A26" s="1">
        <v>14</v>
      </c>
      <c r="B26">
        <v>10</v>
      </c>
      <c r="C26" s="57" t="b">
        <v>1</v>
      </c>
      <c r="D26" s="58" t="b">
        <v>0</v>
      </c>
      <c r="E26" s="59" t="b">
        <v>0</v>
      </c>
      <c r="F26">
        <f>_xlfn.XLOOKUP(B26, 'Question Values'!$A$2:$A$38, 'Question Values'!$B$2:$B$38)</f>
        <v>2</v>
      </c>
      <c r="G26" s="16" t="s">
        <v>76</v>
      </c>
    </row>
    <row r="27" spans="1:7" x14ac:dyDescent="0.3">
      <c r="A27" s="1">
        <v>14</v>
      </c>
      <c r="B27">
        <v>23</v>
      </c>
      <c r="C27" s="57" t="b">
        <v>1</v>
      </c>
      <c r="D27" s="58" t="b">
        <v>1</v>
      </c>
      <c r="E27" s="59" t="b">
        <v>1</v>
      </c>
      <c r="F27">
        <f>_xlfn.XLOOKUP(B27, 'Question Values'!$A$2:$A$38, 'Question Values'!$B$2:$B$38)</f>
        <v>2</v>
      </c>
      <c r="G27" s="16" t="s">
        <v>77</v>
      </c>
    </row>
    <row r="28" spans="1:7" x14ac:dyDescent="0.3">
      <c r="A28" s="1">
        <v>15</v>
      </c>
      <c r="B28">
        <v>23</v>
      </c>
      <c r="C28" s="57" t="b">
        <v>1</v>
      </c>
      <c r="D28" s="58" t="b">
        <v>1</v>
      </c>
      <c r="E28" s="59" t="b">
        <v>1</v>
      </c>
      <c r="F28">
        <f>_xlfn.XLOOKUP(B28, 'Question Values'!$A$2:$A$38, 'Question Values'!$B$2:$B$38)</f>
        <v>2</v>
      </c>
      <c r="G28" s="16" t="s">
        <v>71</v>
      </c>
    </row>
    <row r="29" spans="1:7" x14ac:dyDescent="0.3">
      <c r="A29" s="1">
        <v>17</v>
      </c>
      <c r="B29">
        <v>2</v>
      </c>
      <c r="C29" s="57" t="b">
        <v>0</v>
      </c>
      <c r="D29" s="58" t="b">
        <v>0</v>
      </c>
      <c r="E29" s="59" t="b">
        <v>0</v>
      </c>
      <c r="F29">
        <f>_xlfn.XLOOKUP(B29, 'Question Values'!$A$2:$A$38, 'Question Values'!$B$2:$B$38)</f>
        <v>3</v>
      </c>
      <c r="G29" s="16" t="s">
        <v>29</v>
      </c>
    </row>
    <row r="30" spans="1:7" x14ac:dyDescent="0.3">
      <c r="A30" s="1">
        <v>17</v>
      </c>
      <c r="B30">
        <v>7</v>
      </c>
      <c r="C30" s="57" t="b">
        <v>0</v>
      </c>
      <c r="D30" s="58" t="b">
        <v>0</v>
      </c>
      <c r="E30" s="59" t="b">
        <v>0</v>
      </c>
      <c r="F30">
        <f>_xlfn.XLOOKUP(B30, 'Question Values'!$A$2:$A$38, 'Question Values'!$B$2:$B$38)</f>
        <v>8</v>
      </c>
      <c r="G30" s="16" t="s">
        <v>75</v>
      </c>
    </row>
    <row r="31" spans="1:7" x14ac:dyDescent="0.3">
      <c r="A31" s="1">
        <v>17</v>
      </c>
      <c r="B31">
        <v>22</v>
      </c>
      <c r="C31" s="57" t="b">
        <v>1</v>
      </c>
      <c r="D31" s="58" t="b">
        <v>1</v>
      </c>
      <c r="E31" s="59" t="b">
        <v>0</v>
      </c>
      <c r="F31">
        <f>_xlfn.XLOOKUP(B31, 'Question Values'!$A$2:$A$38, 'Question Values'!$B$2:$B$38)</f>
        <v>2</v>
      </c>
      <c r="G31" s="16" t="s">
        <v>81</v>
      </c>
    </row>
    <row r="32" spans="1:7" x14ac:dyDescent="0.3">
      <c r="A32" s="1">
        <v>17</v>
      </c>
      <c r="B32">
        <v>23</v>
      </c>
      <c r="C32" s="57" t="b">
        <v>1</v>
      </c>
      <c r="D32" s="58" t="b">
        <v>1</v>
      </c>
      <c r="E32" s="59" t="b">
        <v>1</v>
      </c>
      <c r="F32">
        <f>_xlfn.XLOOKUP(B32, 'Question Values'!$A$2:$A$38, 'Question Values'!$B$2:$B$38)</f>
        <v>2</v>
      </c>
      <c r="G32" s="16" t="s">
        <v>82</v>
      </c>
    </row>
    <row r="33" spans="1:7" x14ac:dyDescent="0.3">
      <c r="A33" s="1">
        <v>19</v>
      </c>
      <c r="B33">
        <v>7</v>
      </c>
      <c r="C33" s="57" t="b">
        <v>0</v>
      </c>
      <c r="D33" s="58" t="b">
        <v>0</v>
      </c>
      <c r="E33" s="59" t="b">
        <v>0</v>
      </c>
      <c r="F33">
        <f>_xlfn.XLOOKUP(B33, 'Question Values'!$A$2:$A$38, 'Question Values'!$B$2:$B$38)</f>
        <v>8</v>
      </c>
      <c r="G33" s="16" t="s">
        <v>88</v>
      </c>
    </row>
    <row r="34" spans="1:7" x14ac:dyDescent="0.3">
      <c r="A34" s="1">
        <v>19</v>
      </c>
      <c r="B34">
        <v>14</v>
      </c>
      <c r="C34" s="57" t="b">
        <v>0</v>
      </c>
      <c r="D34" s="58" t="b">
        <v>0</v>
      </c>
      <c r="E34" s="59" t="b">
        <v>0</v>
      </c>
      <c r="F34">
        <f>_xlfn.XLOOKUP(B34, 'Question Values'!$A$2:$A$38, 'Question Values'!$B$2:$B$38)</f>
        <v>2</v>
      </c>
      <c r="G34" s="16" t="s">
        <v>89</v>
      </c>
    </row>
    <row r="35" spans="1:7" x14ac:dyDescent="0.3">
      <c r="A35" s="1">
        <v>19</v>
      </c>
      <c r="B35">
        <v>23</v>
      </c>
      <c r="C35" s="57" t="b">
        <v>1</v>
      </c>
      <c r="D35" s="58" t="b">
        <v>1</v>
      </c>
      <c r="E35" s="59" t="b">
        <v>1</v>
      </c>
      <c r="F35">
        <f>_xlfn.XLOOKUP(B35, 'Question Values'!$A$2:$A$38, 'Question Values'!$B$2:$B$38)</f>
        <v>2</v>
      </c>
      <c r="G35" s="16" t="s">
        <v>24</v>
      </c>
    </row>
    <row r="36" spans="1:7" x14ac:dyDescent="0.3">
      <c r="A36" s="5">
        <v>21</v>
      </c>
      <c r="B36" s="6">
        <v>23</v>
      </c>
      <c r="C36" s="60" t="b">
        <v>1</v>
      </c>
      <c r="D36" s="14" t="b">
        <v>1</v>
      </c>
      <c r="E36" s="61" t="b">
        <v>1</v>
      </c>
      <c r="F36" s="6">
        <f>_xlfn.XLOOKUP(B36, 'Question Values'!$A$2:$A$38, 'Question Values'!$B$2:$B$38)</f>
        <v>2</v>
      </c>
      <c r="G36" s="27" t="s">
        <v>18</v>
      </c>
    </row>
  </sheetData>
  <sortState xmlns:xlrd2="http://schemas.microsoft.com/office/spreadsheetml/2017/richdata2" ref="A2:G36">
    <sortCondition ref="A2:A36"/>
  </sortState>
  <conditionalFormatting sqref="C2:E36">
    <cfRule type="cellIs" dxfId="5" priority="1" operator="equal">
      <formula>TRUE</formula>
    </cfRule>
  </conditionalFormatting>
  <pageMargins left="0.7" right="0.7" top="0.75" bottom="0.75" header="0.3" footer="0.3"/>
  <pageSetup scale="90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Button 1">
              <controlPr defaultSize="0" print="0" autoFill="0" autoPict="0" macro="[0]!resortQuestions">
                <anchor moveWithCells="1" sizeWithCells="1">
                  <from>
                    <xdr:col>8</xdr:col>
                    <xdr:colOff>0</xdr:colOff>
                    <xdr:row>3</xdr:row>
                    <xdr:rowOff>0</xdr:rowOff>
                  </from>
                  <to>
                    <xdr:col>10</xdr:col>
                    <xdr:colOff>0</xdr:colOff>
                    <xdr:row>6</xdr:row>
                    <xdr:rowOff>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2" id="{F34DE729-ACC2-49D8-AA40-3D83284B6887}">
            <xm:f>Calculations!$A2=1</xm:f>
            <x14:dxf>
              <fill>
                <patternFill>
                  <bgColor theme="9" tint="0.59996337778862885"/>
                </patternFill>
              </fill>
            </x14:dxf>
          </x14:cfRule>
          <xm:sqref>A2:B36 F2:G36</xm:sqref>
        </x14:conditionalFormatting>
      </x14:conditionalFormatting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4BC4CE2-0E35-44F0-B46C-6D3EC5B8ABC2}">
  <sheetPr codeName="Sheet4"/>
  <dimension ref="A1:G39"/>
  <sheetViews>
    <sheetView workbookViewId="0">
      <selection activeCell="I16" sqref="I16"/>
    </sheetView>
  </sheetViews>
  <sheetFormatPr defaultRowHeight="14.4" x14ac:dyDescent="0.3"/>
  <cols>
    <col min="1" max="1" width="10.33203125" customWidth="1"/>
    <col min="2" max="2" width="6.6640625" customWidth="1"/>
    <col min="3" max="3" width="5.88671875" bestFit="1" customWidth="1"/>
    <col min="4" max="4" width="10" bestFit="1" customWidth="1"/>
    <col min="5" max="5" width="9" bestFit="1" customWidth="1"/>
    <col min="6" max="6" width="9.5546875" bestFit="1" customWidth="1"/>
    <col min="7" max="7" width="11.77734375" bestFit="1" customWidth="1"/>
  </cols>
  <sheetData>
    <row r="1" spans="1:7" ht="28.8" x14ac:dyDescent="0.3">
      <c r="A1" s="62" t="s">
        <v>7</v>
      </c>
      <c r="B1" s="63" t="s">
        <v>16</v>
      </c>
      <c r="C1" s="63" t="s">
        <v>36</v>
      </c>
      <c r="D1" s="63" t="s">
        <v>37</v>
      </c>
      <c r="E1" s="63" t="s">
        <v>38</v>
      </c>
      <c r="F1" s="63" t="s">
        <v>40</v>
      </c>
      <c r="G1" s="65" t="s">
        <v>41</v>
      </c>
    </row>
    <row r="2" spans="1:7" x14ac:dyDescent="0.3">
      <c r="A2" s="1">
        <v>1</v>
      </c>
      <c r="B2">
        <v>6</v>
      </c>
      <c r="C2">
        <f>COUNTIF(Questions!$B$2:$B$36, 'Question Values'!A2)</f>
        <v>1</v>
      </c>
      <c r="D2">
        <f>COUNTIFS(Questions!$B$2:$B$36, 'Question Values'!$A2, Questions!D$2:D$36, TRUE)</f>
        <v>1</v>
      </c>
      <c r="E2">
        <f>COUNTIFS(Questions!$B$2:$B$36, 'Question Values'!$A2, Questions!E$2:E$36, TRUE)</f>
        <v>1</v>
      </c>
      <c r="F2">
        <f>C2-D2</f>
        <v>0</v>
      </c>
      <c r="G2" s="16">
        <f>D2-E2</f>
        <v>0</v>
      </c>
    </row>
    <row r="3" spans="1:7" x14ac:dyDescent="0.3">
      <c r="A3" s="1">
        <f>A2 + 1</f>
        <v>2</v>
      </c>
      <c r="B3">
        <v>3</v>
      </c>
      <c r="C3">
        <f>COUNTIF(Questions!$B$2:$B$36, 'Question Values'!A3)</f>
        <v>2</v>
      </c>
      <c r="D3">
        <f>COUNTIFS(Questions!$B$2:$B$36, 'Question Values'!$A3, Questions!D$2:D$36, TRUE)</f>
        <v>0</v>
      </c>
      <c r="E3">
        <f>COUNTIFS(Questions!$B$2:$B$36, 'Question Values'!$A3, Questions!E$2:E$36, TRUE)</f>
        <v>0</v>
      </c>
      <c r="F3">
        <f t="shared" ref="F3:F16" si="0">C3-D3</f>
        <v>2</v>
      </c>
      <c r="G3" s="16">
        <f t="shared" ref="G3:G16" si="1">D3-E3</f>
        <v>0</v>
      </c>
    </row>
    <row r="4" spans="1:7" x14ac:dyDescent="0.3">
      <c r="A4" s="1">
        <f t="shared" ref="A4:A38" si="2">A3 + 1</f>
        <v>3</v>
      </c>
      <c r="B4">
        <v>1</v>
      </c>
      <c r="C4">
        <f>COUNTIF(Questions!$B$2:$B$36, 'Question Values'!A4)</f>
        <v>1</v>
      </c>
      <c r="D4">
        <f>COUNTIFS(Questions!$B$2:$B$36, 'Question Values'!$A4, Questions!D$2:D$36, TRUE)</f>
        <v>0</v>
      </c>
      <c r="E4">
        <f>COUNTIFS(Questions!$B$2:$B$36, 'Question Values'!$A4, Questions!E$2:E$36, TRUE)</f>
        <v>0</v>
      </c>
      <c r="F4">
        <f t="shared" si="0"/>
        <v>1</v>
      </c>
      <c r="G4" s="16">
        <f t="shared" si="1"/>
        <v>0</v>
      </c>
    </row>
    <row r="5" spans="1:7" x14ac:dyDescent="0.3">
      <c r="A5" s="1">
        <f t="shared" si="2"/>
        <v>4</v>
      </c>
      <c r="B5">
        <v>1</v>
      </c>
      <c r="C5">
        <f>COUNTIF(Questions!$B$2:$B$36, 'Question Values'!A5)</f>
        <v>2</v>
      </c>
      <c r="D5">
        <f>COUNTIFS(Questions!$B$2:$B$36, 'Question Values'!$A5, Questions!D$2:D$36, TRUE)</f>
        <v>0</v>
      </c>
      <c r="E5">
        <f>COUNTIFS(Questions!$B$2:$B$36, 'Question Values'!$A5, Questions!E$2:E$36, TRUE)</f>
        <v>0</v>
      </c>
      <c r="F5">
        <f t="shared" si="0"/>
        <v>2</v>
      </c>
      <c r="G5" s="16">
        <f t="shared" si="1"/>
        <v>0</v>
      </c>
    </row>
    <row r="6" spans="1:7" x14ac:dyDescent="0.3">
      <c r="A6" s="1">
        <f t="shared" si="2"/>
        <v>5</v>
      </c>
      <c r="B6">
        <v>1</v>
      </c>
      <c r="C6">
        <f>COUNTIF(Questions!$B$2:$B$36, 'Question Values'!A6)</f>
        <v>1</v>
      </c>
      <c r="D6">
        <f>COUNTIFS(Questions!$B$2:$B$36, 'Question Values'!$A6, Questions!D$2:D$36, TRUE)</f>
        <v>0</v>
      </c>
      <c r="E6">
        <f>COUNTIFS(Questions!$B$2:$B$36, 'Question Values'!$A6, Questions!E$2:E$36, TRUE)</f>
        <v>0</v>
      </c>
      <c r="F6">
        <f t="shared" si="0"/>
        <v>1</v>
      </c>
      <c r="G6" s="16">
        <f t="shared" si="1"/>
        <v>0</v>
      </c>
    </row>
    <row r="7" spans="1:7" x14ac:dyDescent="0.3">
      <c r="A7" s="1">
        <f t="shared" si="2"/>
        <v>6</v>
      </c>
      <c r="B7">
        <v>5</v>
      </c>
      <c r="C7">
        <f>COUNTIF(Questions!$B$2:$B$36, 'Question Values'!A7)</f>
        <v>0</v>
      </c>
      <c r="D7">
        <f>COUNTIFS(Questions!$B$2:$B$36, 'Question Values'!$A7, Questions!D$2:D$36, TRUE)</f>
        <v>0</v>
      </c>
      <c r="E7">
        <f>COUNTIFS(Questions!$B$2:$B$36, 'Question Values'!$A7, Questions!E$2:E$36, TRUE)</f>
        <v>0</v>
      </c>
      <c r="F7">
        <f t="shared" si="0"/>
        <v>0</v>
      </c>
      <c r="G7" s="16">
        <f t="shared" si="1"/>
        <v>0</v>
      </c>
    </row>
    <row r="8" spans="1:7" x14ac:dyDescent="0.3">
      <c r="A8" s="1">
        <f t="shared" si="2"/>
        <v>7</v>
      </c>
      <c r="B8">
        <v>8</v>
      </c>
      <c r="C8">
        <f>COUNTIF(Questions!$B$2:$B$36, 'Question Values'!A8)</f>
        <v>4</v>
      </c>
      <c r="D8">
        <f>COUNTIFS(Questions!$B$2:$B$36, 'Question Values'!$A8, Questions!D$2:D$36, TRUE)</f>
        <v>0</v>
      </c>
      <c r="E8">
        <f>COUNTIFS(Questions!$B$2:$B$36, 'Question Values'!$A8, Questions!E$2:E$36, TRUE)</f>
        <v>0</v>
      </c>
      <c r="F8">
        <f t="shared" si="0"/>
        <v>4</v>
      </c>
      <c r="G8" s="16">
        <f t="shared" si="1"/>
        <v>0</v>
      </c>
    </row>
    <row r="9" spans="1:7" x14ac:dyDescent="0.3">
      <c r="A9" s="1">
        <f t="shared" si="2"/>
        <v>8</v>
      </c>
      <c r="B9">
        <v>2</v>
      </c>
      <c r="C9">
        <f>COUNTIF(Questions!$B$2:$B$36, 'Question Values'!A9)</f>
        <v>3</v>
      </c>
      <c r="D9">
        <f>COUNTIFS(Questions!$B$2:$B$36, 'Question Values'!$A9, Questions!D$2:D$36, TRUE)</f>
        <v>1</v>
      </c>
      <c r="E9">
        <f>COUNTIFS(Questions!$B$2:$B$36, 'Question Values'!$A9, Questions!E$2:E$36, TRUE)</f>
        <v>1</v>
      </c>
      <c r="F9">
        <f t="shared" si="0"/>
        <v>2</v>
      </c>
      <c r="G9" s="16">
        <f t="shared" si="1"/>
        <v>0</v>
      </c>
    </row>
    <row r="10" spans="1:7" x14ac:dyDescent="0.3">
      <c r="A10" s="1">
        <f t="shared" si="2"/>
        <v>9</v>
      </c>
      <c r="B10">
        <v>2</v>
      </c>
      <c r="C10">
        <f>COUNTIF(Questions!$B$2:$B$36, 'Question Values'!A10)</f>
        <v>0</v>
      </c>
      <c r="D10">
        <f>COUNTIFS(Questions!$B$2:$B$36, 'Question Values'!$A10, Questions!D$2:D$36, TRUE)</f>
        <v>0</v>
      </c>
      <c r="E10">
        <f>COUNTIFS(Questions!$B$2:$B$36, 'Question Values'!$A10, Questions!E$2:E$36, TRUE)</f>
        <v>0</v>
      </c>
      <c r="F10">
        <f t="shared" si="0"/>
        <v>0</v>
      </c>
      <c r="G10" s="16">
        <f t="shared" si="1"/>
        <v>0</v>
      </c>
    </row>
    <row r="11" spans="1:7" x14ac:dyDescent="0.3">
      <c r="A11" s="1">
        <f t="shared" si="2"/>
        <v>10</v>
      </c>
      <c r="B11">
        <v>2</v>
      </c>
      <c r="C11">
        <f>COUNTIF(Questions!$B$2:$B$36, 'Question Values'!A11)</f>
        <v>4</v>
      </c>
      <c r="D11">
        <f>COUNTIFS(Questions!$B$2:$B$36, 'Question Values'!$A11, Questions!D$2:D$36, TRUE)</f>
        <v>3</v>
      </c>
      <c r="E11">
        <f>COUNTIFS(Questions!$B$2:$B$36, 'Question Values'!$A11, Questions!E$2:E$36, TRUE)</f>
        <v>3</v>
      </c>
      <c r="F11">
        <f t="shared" si="0"/>
        <v>1</v>
      </c>
      <c r="G11" s="16">
        <f t="shared" si="1"/>
        <v>0</v>
      </c>
    </row>
    <row r="12" spans="1:7" x14ac:dyDescent="0.3">
      <c r="A12" s="1">
        <f t="shared" si="2"/>
        <v>11</v>
      </c>
      <c r="B12">
        <v>2</v>
      </c>
      <c r="C12">
        <f>COUNTIF(Questions!$B$2:$B$36, 'Question Values'!A12)</f>
        <v>0</v>
      </c>
      <c r="D12">
        <f>COUNTIFS(Questions!$B$2:$B$36, 'Question Values'!$A12, Questions!D$2:D$36, TRUE)</f>
        <v>0</v>
      </c>
      <c r="E12">
        <f>COUNTIFS(Questions!$B$2:$B$36, 'Question Values'!$A12, Questions!E$2:E$36, TRUE)</f>
        <v>0</v>
      </c>
      <c r="F12">
        <f t="shared" si="0"/>
        <v>0</v>
      </c>
      <c r="G12" s="16">
        <f t="shared" si="1"/>
        <v>0</v>
      </c>
    </row>
    <row r="13" spans="1:7" x14ac:dyDescent="0.3">
      <c r="A13" s="1">
        <f t="shared" si="2"/>
        <v>12</v>
      </c>
      <c r="B13">
        <v>5</v>
      </c>
      <c r="C13">
        <f>COUNTIF(Questions!$B$2:$B$36, 'Question Values'!A13)</f>
        <v>0</v>
      </c>
      <c r="D13">
        <f>COUNTIFS(Questions!$B$2:$B$36, 'Question Values'!$A13, Questions!D$2:D$36, TRUE)</f>
        <v>0</v>
      </c>
      <c r="E13">
        <f>COUNTIFS(Questions!$B$2:$B$36, 'Question Values'!$A13, Questions!E$2:E$36, TRUE)</f>
        <v>0</v>
      </c>
      <c r="F13">
        <f t="shared" si="0"/>
        <v>0</v>
      </c>
      <c r="G13" s="16">
        <f t="shared" si="1"/>
        <v>0</v>
      </c>
    </row>
    <row r="14" spans="1:7" x14ac:dyDescent="0.3">
      <c r="A14" s="1">
        <f t="shared" si="2"/>
        <v>13</v>
      </c>
      <c r="B14">
        <v>2</v>
      </c>
      <c r="C14">
        <f>COUNTIF(Questions!$B$2:$B$36, 'Question Values'!A14)</f>
        <v>1</v>
      </c>
      <c r="D14">
        <f>COUNTIFS(Questions!$B$2:$B$36, 'Question Values'!$A14, Questions!D$2:D$36, TRUE)</f>
        <v>0</v>
      </c>
      <c r="E14">
        <f>COUNTIFS(Questions!$B$2:$B$36, 'Question Values'!$A14, Questions!E$2:E$36, TRUE)</f>
        <v>0</v>
      </c>
      <c r="F14">
        <f t="shared" si="0"/>
        <v>1</v>
      </c>
      <c r="G14" s="16">
        <f t="shared" si="1"/>
        <v>0</v>
      </c>
    </row>
    <row r="15" spans="1:7" x14ac:dyDescent="0.3">
      <c r="A15" s="1">
        <f t="shared" si="2"/>
        <v>14</v>
      </c>
      <c r="B15">
        <v>2</v>
      </c>
      <c r="C15">
        <f>COUNTIF(Questions!$B$2:$B$36, 'Question Values'!A15)</f>
        <v>1</v>
      </c>
      <c r="D15">
        <f>COUNTIFS(Questions!$B$2:$B$36, 'Question Values'!$A15, Questions!D$2:D$36, TRUE)</f>
        <v>0</v>
      </c>
      <c r="E15">
        <f>COUNTIFS(Questions!$B$2:$B$36, 'Question Values'!$A15, Questions!E$2:E$36, TRUE)</f>
        <v>0</v>
      </c>
      <c r="F15">
        <f t="shared" si="0"/>
        <v>1</v>
      </c>
      <c r="G15" s="16">
        <f t="shared" si="1"/>
        <v>0</v>
      </c>
    </row>
    <row r="16" spans="1:7" x14ac:dyDescent="0.3">
      <c r="A16" s="1">
        <f t="shared" si="2"/>
        <v>15</v>
      </c>
      <c r="B16">
        <v>2</v>
      </c>
      <c r="C16">
        <f>COUNTIF(Questions!$B$2:$B$36, 'Question Values'!A16)</f>
        <v>0</v>
      </c>
      <c r="D16">
        <f>COUNTIFS(Questions!$B$2:$B$36, 'Question Values'!$A16, Questions!D$2:D$36, TRUE)</f>
        <v>0</v>
      </c>
      <c r="E16">
        <f>COUNTIFS(Questions!$B$2:$B$36, 'Question Values'!$A16, Questions!E$2:E$36, TRUE)</f>
        <v>0</v>
      </c>
      <c r="F16">
        <f t="shared" si="0"/>
        <v>0</v>
      </c>
      <c r="G16" s="16">
        <f t="shared" si="1"/>
        <v>0</v>
      </c>
    </row>
    <row r="17" spans="1:7" x14ac:dyDescent="0.3">
      <c r="A17" s="1">
        <f t="shared" si="2"/>
        <v>16</v>
      </c>
      <c r="B17">
        <v>2</v>
      </c>
      <c r="C17">
        <f>COUNTIF(Questions!$B$2:$B$36, 'Question Values'!A17)</f>
        <v>0</v>
      </c>
      <c r="D17">
        <f>COUNTIFS(Questions!$B$2:$B$36, 'Question Values'!$A17, Questions!D$2:D$36, TRUE)</f>
        <v>0</v>
      </c>
      <c r="E17">
        <f>COUNTIFS(Questions!$B$2:$B$36, 'Question Values'!$A17, Questions!E$2:E$36, TRUE)</f>
        <v>0</v>
      </c>
      <c r="F17">
        <f>C17-D17</f>
        <v>0</v>
      </c>
      <c r="G17" s="16">
        <f>D17-E17</f>
        <v>0</v>
      </c>
    </row>
    <row r="18" spans="1:7" x14ac:dyDescent="0.3">
      <c r="A18" s="1">
        <f t="shared" si="2"/>
        <v>17</v>
      </c>
      <c r="B18">
        <v>1</v>
      </c>
      <c r="C18">
        <f>COUNTIF(Questions!$B$2:$B$36, 'Question Values'!A18)</f>
        <v>0</v>
      </c>
      <c r="D18">
        <f>COUNTIFS(Questions!$B$2:$B$36, 'Question Values'!$A18, Questions!D$2:D$36, TRUE)</f>
        <v>0</v>
      </c>
      <c r="E18">
        <f>COUNTIFS(Questions!$B$2:$B$36, 'Question Values'!$A18, Questions!E$2:E$36, TRUE)</f>
        <v>0</v>
      </c>
      <c r="F18">
        <f t="shared" ref="F18:F28" si="3">C18-D18</f>
        <v>0</v>
      </c>
      <c r="G18" s="16">
        <f t="shared" ref="G18:G28" si="4">D18-E18</f>
        <v>0</v>
      </c>
    </row>
    <row r="19" spans="1:7" x14ac:dyDescent="0.3">
      <c r="A19" s="1">
        <f t="shared" si="2"/>
        <v>18</v>
      </c>
      <c r="B19">
        <v>1</v>
      </c>
      <c r="C19">
        <f>COUNTIF(Questions!$B$2:$B$36, 'Question Values'!A19)</f>
        <v>0</v>
      </c>
      <c r="D19">
        <f>COUNTIFS(Questions!$B$2:$B$36, 'Question Values'!$A19, Questions!D$2:D$36, TRUE)</f>
        <v>0</v>
      </c>
      <c r="E19">
        <f>COUNTIFS(Questions!$B$2:$B$36, 'Question Values'!$A19, Questions!E$2:E$36, TRUE)</f>
        <v>0</v>
      </c>
      <c r="F19">
        <f t="shared" si="3"/>
        <v>0</v>
      </c>
      <c r="G19" s="16">
        <f t="shared" si="4"/>
        <v>0</v>
      </c>
    </row>
    <row r="20" spans="1:7" x14ac:dyDescent="0.3">
      <c r="A20" s="1">
        <f t="shared" si="2"/>
        <v>19</v>
      </c>
      <c r="B20">
        <v>2</v>
      </c>
      <c r="C20">
        <f>COUNTIF(Questions!$B$2:$B$36, 'Question Values'!A20)</f>
        <v>0</v>
      </c>
      <c r="D20">
        <f>COUNTIFS(Questions!$B$2:$B$36, 'Question Values'!$A20, Questions!D$2:D$36, TRUE)</f>
        <v>0</v>
      </c>
      <c r="E20">
        <f>COUNTIFS(Questions!$B$2:$B$36, 'Question Values'!$A20, Questions!E$2:E$36, TRUE)</f>
        <v>0</v>
      </c>
      <c r="F20">
        <f t="shared" si="3"/>
        <v>0</v>
      </c>
      <c r="G20" s="16">
        <f t="shared" si="4"/>
        <v>0</v>
      </c>
    </row>
    <row r="21" spans="1:7" x14ac:dyDescent="0.3">
      <c r="A21" s="1">
        <f t="shared" si="2"/>
        <v>20</v>
      </c>
      <c r="B21">
        <v>2</v>
      </c>
      <c r="C21">
        <f>COUNTIF(Questions!$B$2:$B$36, 'Question Values'!A21)</f>
        <v>0</v>
      </c>
      <c r="D21">
        <f>COUNTIFS(Questions!$B$2:$B$36, 'Question Values'!$A21, Questions!D$2:D$36, TRUE)</f>
        <v>0</v>
      </c>
      <c r="E21">
        <f>COUNTIFS(Questions!$B$2:$B$36, 'Question Values'!$A21, Questions!E$2:E$36, TRUE)</f>
        <v>0</v>
      </c>
      <c r="F21">
        <f t="shared" si="3"/>
        <v>0</v>
      </c>
      <c r="G21" s="16">
        <f t="shared" si="4"/>
        <v>0</v>
      </c>
    </row>
    <row r="22" spans="1:7" x14ac:dyDescent="0.3">
      <c r="A22" s="1">
        <f t="shared" si="2"/>
        <v>21</v>
      </c>
      <c r="B22">
        <v>3</v>
      </c>
      <c r="C22">
        <f>COUNTIF(Questions!$B$2:$B$36, 'Question Values'!A22)</f>
        <v>0</v>
      </c>
      <c r="D22">
        <f>COUNTIFS(Questions!$B$2:$B$36, 'Question Values'!$A22, Questions!D$2:D$36, TRUE)</f>
        <v>0</v>
      </c>
      <c r="E22">
        <f>COUNTIFS(Questions!$B$2:$B$36, 'Question Values'!$A22, Questions!E$2:E$36, TRUE)</f>
        <v>0</v>
      </c>
      <c r="F22">
        <f t="shared" si="3"/>
        <v>0</v>
      </c>
      <c r="G22" s="16">
        <f t="shared" si="4"/>
        <v>0</v>
      </c>
    </row>
    <row r="23" spans="1:7" x14ac:dyDescent="0.3">
      <c r="A23" s="1">
        <f t="shared" si="2"/>
        <v>22</v>
      </c>
      <c r="B23">
        <v>2</v>
      </c>
      <c r="C23">
        <f>COUNTIF(Questions!$B$2:$B$36, 'Question Values'!A23)</f>
        <v>2</v>
      </c>
      <c r="D23">
        <f>COUNTIFS(Questions!$B$2:$B$36, 'Question Values'!$A23, Questions!D$2:D$36, TRUE)</f>
        <v>2</v>
      </c>
      <c r="E23">
        <f>COUNTIFS(Questions!$B$2:$B$36, 'Question Values'!$A23, Questions!E$2:E$36, TRUE)</f>
        <v>1</v>
      </c>
      <c r="F23">
        <f t="shared" si="3"/>
        <v>0</v>
      </c>
      <c r="G23" s="16">
        <f t="shared" si="4"/>
        <v>1</v>
      </c>
    </row>
    <row r="24" spans="1:7" x14ac:dyDescent="0.3">
      <c r="A24" s="1">
        <f t="shared" si="2"/>
        <v>23</v>
      </c>
      <c r="B24">
        <v>2</v>
      </c>
      <c r="C24">
        <f>COUNTIF(Questions!$B$2:$B$36, 'Question Values'!A24)</f>
        <v>12</v>
      </c>
      <c r="D24">
        <f>COUNTIFS(Questions!$B$2:$B$36, 'Question Values'!$A24, Questions!D$2:D$36, TRUE)</f>
        <v>12</v>
      </c>
      <c r="E24">
        <f>COUNTIFS(Questions!$B$2:$B$36, 'Question Values'!$A24, Questions!E$2:E$36, TRUE)</f>
        <v>12</v>
      </c>
      <c r="F24">
        <f t="shared" si="3"/>
        <v>0</v>
      </c>
      <c r="G24" s="16">
        <f t="shared" si="4"/>
        <v>0</v>
      </c>
    </row>
    <row r="25" spans="1:7" x14ac:dyDescent="0.3">
      <c r="A25" s="1">
        <f t="shared" si="2"/>
        <v>24</v>
      </c>
      <c r="B25">
        <v>1</v>
      </c>
      <c r="C25">
        <f>COUNTIF(Questions!$B$2:$B$36, 'Question Values'!A25)</f>
        <v>1</v>
      </c>
      <c r="D25">
        <f>COUNTIFS(Questions!$B$2:$B$36, 'Question Values'!$A25, Questions!D$2:D$36, TRUE)</f>
        <v>1</v>
      </c>
      <c r="E25">
        <f>COUNTIFS(Questions!$B$2:$B$36, 'Question Values'!$A25, Questions!E$2:E$36, TRUE)</f>
        <v>1</v>
      </c>
      <c r="F25">
        <f t="shared" si="3"/>
        <v>0</v>
      </c>
      <c r="G25" s="16">
        <f t="shared" si="4"/>
        <v>0</v>
      </c>
    </row>
    <row r="26" spans="1:7" x14ac:dyDescent="0.3">
      <c r="A26" s="1">
        <f t="shared" si="2"/>
        <v>25</v>
      </c>
      <c r="B26">
        <v>1</v>
      </c>
      <c r="C26">
        <f>COUNTIF(Questions!$B$2:$B$36, 'Question Values'!A26)</f>
        <v>0</v>
      </c>
      <c r="D26">
        <f>COUNTIFS(Questions!$B$2:$B$36, 'Question Values'!$A26, Questions!D$2:D$36, TRUE)</f>
        <v>0</v>
      </c>
      <c r="E26">
        <f>COUNTIFS(Questions!$B$2:$B$36, 'Question Values'!$A26, Questions!E$2:E$36, TRUE)</f>
        <v>0</v>
      </c>
      <c r="F26">
        <f t="shared" si="3"/>
        <v>0</v>
      </c>
      <c r="G26" s="16">
        <f t="shared" si="4"/>
        <v>0</v>
      </c>
    </row>
    <row r="27" spans="1:7" x14ac:dyDescent="0.3">
      <c r="A27" s="1">
        <f t="shared" si="2"/>
        <v>26</v>
      </c>
      <c r="B27">
        <v>2</v>
      </c>
      <c r="C27">
        <f>COUNTIF(Questions!$B$2:$B$36, 'Question Values'!A27)</f>
        <v>0</v>
      </c>
      <c r="D27">
        <f>COUNTIFS(Questions!$B$2:$B$36, 'Question Values'!$A27, Questions!D$2:D$36, TRUE)</f>
        <v>0</v>
      </c>
      <c r="E27">
        <f>COUNTIFS(Questions!$B$2:$B$36, 'Question Values'!$A27, Questions!E$2:E$36, TRUE)</f>
        <v>0</v>
      </c>
      <c r="F27">
        <f t="shared" si="3"/>
        <v>0</v>
      </c>
      <c r="G27" s="16">
        <f t="shared" si="4"/>
        <v>0</v>
      </c>
    </row>
    <row r="28" spans="1:7" x14ac:dyDescent="0.3">
      <c r="A28" s="1">
        <f t="shared" si="2"/>
        <v>27</v>
      </c>
      <c r="B28">
        <v>2</v>
      </c>
      <c r="C28">
        <f>COUNTIF(Questions!$B$2:$B$36, 'Question Values'!A28)</f>
        <v>0</v>
      </c>
      <c r="D28">
        <f>COUNTIFS(Questions!$B$2:$B$36, 'Question Values'!$A28, Questions!D$2:D$36, TRUE)</f>
        <v>0</v>
      </c>
      <c r="E28">
        <f>COUNTIFS(Questions!$B$2:$B$36, 'Question Values'!$A28, Questions!E$2:E$36, TRUE)</f>
        <v>0</v>
      </c>
      <c r="F28">
        <f t="shared" si="3"/>
        <v>0</v>
      </c>
      <c r="G28" s="16">
        <f t="shared" si="4"/>
        <v>0</v>
      </c>
    </row>
    <row r="29" spans="1:7" x14ac:dyDescent="0.3">
      <c r="A29" s="1">
        <f t="shared" si="2"/>
        <v>28</v>
      </c>
      <c r="B29">
        <v>2</v>
      </c>
      <c r="C29">
        <f>COUNTIF(Questions!$B$2:$B$36, 'Question Values'!A29)</f>
        <v>0</v>
      </c>
      <c r="D29">
        <f>COUNTIFS(Questions!$B$2:$B$36, 'Question Values'!$A29, Questions!D$2:D$36, TRUE)</f>
        <v>0</v>
      </c>
      <c r="E29">
        <f>COUNTIFS(Questions!$B$2:$B$36, 'Question Values'!$A29, Questions!E$2:E$36, TRUE)</f>
        <v>0</v>
      </c>
      <c r="F29">
        <f>C29-D29</f>
        <v>0</v>
      </c>
      <c r="G29" s="16">
        <f>D29-E29</f>
        <v>0</v>
      </c>
    </row>
    <row r="30" spans="1:7" x14ac:dyDescent="0.3">
      <c r="A30" s="1">
        <f t="shared" si="2"/>
        <v>29</v>
      </c>
      <c r="B30">
        <v>4</v>
      </c>
      <c r="C30">
        <f>COUNTIF(Questions!$B$2:$B$36, 'Question Values'!A30)</f>
        <v>0</v>
      </c>
      <c r="D30">
        <f>COUNTIFS(Questions!$B$2:$B$36, 'Question Values'!$A30, Questions!D$2:D$36, TRUE)</f>
        <v>0</v>
      </c>
      <c r="E30">
        <f>COUNTIFS(Questions!$B$2:$B$36, 'Question Values'!$A30, Questions!E$2:E$36, TRUE)</f>
        <v>0</v>
      </c>
      <c r="F30">
        <f t="shared" ref="F30:F38" si="5">C30-D30</f>
        <v>0</v>
      </c>
      <c r="G30" s="16">
        <f t="shared" ref="G30:G38" si="6">D30-E30</f>
        <v>0</v>
      </c>
    </row>
    <row r="31" spans="1:7" x14ac:dyDescent="0.3">
      <c r="A31" s="1">
        <f t="shared" si="2"/>
        <v>30</v>
      </c>
      <c r="B31">
        <v>3</v>
      </c>
      <c r="C31">
        <f>COUNTIF(Questions!$B$2:$B$36, 'Question Values'!A31)</f>
        <v>0</v>
      </c>
      <c r="D31">
        <f>COUNTIFS(Questions!$B$2:$B$36, 'Question Values'!$A31, Questions!D$2:D$36, TRUE)</f>
        <v>0</v>
      </c>
      <c r="E31">
        <f>COUNTIFS(Questions!$B$2:$B$36, 'Question Values'!$A31, Questions!E$2:E$36, TRUE)</f>
        <v>0</v>
      </c>
      <c r="F31">
        <f t="shared" si="5"/>
        <v>0</v>
      </c>
      <c r="G31" s="16">
        <f t="shared" si="6"/>
        <v>0</v>
      </c>
    </row>
    <row r="32" spans="1:7" x14ac:dyDescent="0.3">
      <c r="A32" s="1">
        <f t="shared" si="2"/>
        <v>31</v>
      </c>
      <c r="B32">
        <v>3</v>
      </c>
      <c r="C32">
        <f>COUNTIF(Questions!$B$2:$B$36, 'Question Values'!A32)</f>
        <v>0</v>
      </c>
      <c r="D32">
        <f>COUNTIFS(Questions!$B$2:$B$36, 'Question Values'!$A32, Questions!D$2:D$36, TRUE)</f>
        <v>0</v>
      </c>
      <c r="E32">
        <f>COUNTIFS(Questions!$B$2:$B$36, 'Question Values'!$A32, Questions!E$2:E$36, TRUE)</f>
        <v>0</v>
      </c>
      <c r="F32">
        <f t="shared" si="5"/>
        <v>0</v>
      </c>
      <c r="G32" s="16">
        <f t="shared" si="6"/>
        <v>0</v>
      </c>
    </row>
    <row r="33" spans="1:7" x14ac:dyDescent="0.3">
      <c r="A33" s="1">
        <f t="shared" si="2"/>
        <v>32</v>
      </c>
      <c r="B33">
        <v>2</v>
      </c>
      <c r="C33">
        <f>COUNTIF(Questions!$B$2:$B$36, 'Question Values'!A33)</f>
        <v>0</v>
      </c>
      <c r="D33">
        <f>COUNTIFS(Questions!$B$2:$B$36, 'Question Values'!$A33, Questions!D$2:D$36, TRUE)</f>
        <v>0</v>
      </c>
      <c r="E33">
        <f>COUNTIFS(Questions!$B$2:$B$36, 'Question Values'!$A33, Questions!E$2:E$36, TRUE)</f>
        <v>0</v>
      </c>
      <c r="F33">
        <f t="shared" si="5"/>
        <v>0</v>
      </c>
      <c r="G33" s="16">
        <f t="shared" si="6"/>
        <v>0</v>
      </c>
    </row>
    <row r="34" spans="1:7" x14ac:dyDescent="0.3">
      <c r="A34" s="1">
        <f t="shared" si="2"/>
        <v>33</v>
      </c>
      <c r="B34">
        <v>5</v>
      </c>
      <c r="C34">
        <f>COUNTIF(Questions!$B$2:$B$36, 'Question Values'!A34)</f>
        <v>0</v>
      </c>
      <c r="D34">
        <f>COUNTIFS(Questions!$B$2:$B$36, 'Question Values'!$A34, Questions!D$2:D$36, TRUE)</f>
        <v>0</v>
      </c>
      <c r="E34">
        <f>COUNTIFS(Questions!$B$2:$B$36, 'Question Values'!$A34, Questions!E$2:E$36, TRUE)</f>
        <v>0</v>
      </c>
      <c r="F34">
        <f t="shared" si="5"/>
        <v>0</v>
      </c>
      <c r="G34" s="16">
        <f t="shared" si="6"/>
        <v>0</v>
      </c>
    </row>
    <row r="35" spans="1:7" x14ac:dyDescent="0.3">
      <c r="A35" s="1">
        <f t="shared" si="2"/>
        <v>34</v>
      </c>
      <c r="B35">
        <v>5</v>
      </c>
      <c r="C35">
        <f>COUNTIF(Questions!$B$2:$B$36, 'Question Values'!A35)</f>
        <v>0</v>
      </c>
      <c r="D35">
        <f>COUNTIFS(Questions!$B$2:$B$36, 'Question Values'!$A35, Questions!D$2:D$36, TRUE)</f>
        <v>0</v>
      </c>
      <c r="E35">
        <f>COUNTIFS(Questions!$B$2:$B$36, 'Question Values'!$A35, Questions!E$2:E$36, TRUE)</f>
        <v>0</v>
      </c>
      <c r="F35">
        <f t="shared" si="5"/>
        <v>0</v>
      </c>
      <c r="G35" s="16">
        <f t="shared" si="6"/>
        <v>0</v>
      </c>
    </row>
    <row r="36" spans="1:7" x14ac:dyDescent="0.3">
      <c r="A36" s="1">
        <f t="shared" si="2"/>
        <v>35</v>
      </c>
      <c r="B36">
        <v>3</v>
      </c>
      <c r="C36">
        <f>COUNTIF(Questions!$B$2:$B$36, 'Question Values'!A36)</f>
        <v>0</v>
      </c>
      <c r="D36">
        <f>COUNTIFS(Questions!$B$2:$B$36, 'Question Values'!$A36, Questions!D$2:D$36, TRUE)</f>
        <v>0</v>
      </c>
      <c r="E36">
        <f>COUNTIFS(Questions!$B$2:$B$36, 'Question Values'!$A36, Questions!E$2:E$36, TRUE)</f>
        <v>0</v>
      </c>
      <c r="F36">
        <f t="shared" si="5"/>
        <v>0</v>
      </c>
      <c r="G36" s="16">
        <f t="shared" si="6"/>
        <v>0</v>
      </c>
    </row>
    <row r="37" spans="1:7" x14ac:dyDescent="0.3">
      <c r="A37" s="1">
        <f t="shared" si="2"/>
        <v>36</v>
      </c>
      <c r="B37">
        <v>3</v>
      </c>
      <c r="C37">
        <f>COUNTIF(Questions!$B$2:$B$36, 'Question Values'!A37)</f>
        <v>0</v>
      </c>
      <c r="D37">
        <f>COUNTIFS(Questions!$B$2:$B$36, 'Question Values'!$A37, Questions!D$2:D$36, TRUE)</f>
        <v>0</v>
      </c>
      <c r="E37">
        <f>COUNTIFS(Questions!$B$2:$B$36, 'Question Values'!$A37, Questions!E$2:E$36, TRUE)</f>
        <v>0</v>
      </c>
      <c r="F37">
        <f t="shared" si="5"/>
        <v>0</v>
      </c>
      <c r="G37" s="16">
        <f t="shared" si="6"/>
        <v>0</v>
      </c>
    </row>
    <row r="38" spans="1:7" x14ac:dyDescent="0.3">
      <c r="A38" s="1">
        <f t="shared" si="2"/>
        <v>37</v>
      </c>
      <c r="B38">
        <v>5</v>
      </c>
      <c r="C38">
        <f>COUNTIF(Questions!$B$2:$B$36, 'Question Values'!A38)</f>
        <v>0</v>
      </c>
      <c r="D38">
        <f>COUNTIFS(Questions!$B$2:$B$36, 'Question Values'!$A38, Questions!D$2:D$36, TRUE)</f>
        <v>0</v>
      </c>
      <c r="E38">
        <f>COUNTIFS(Questions!$B$2:$B$36, 'Question Values'!$A38, Questions!E$2:E$36, TRUE)</f>
        <v>0</v>
      </c>
      <c r="F38">
        <f t="shared" si="5"/>
        <v>0</v>
      </c>
      <c r="G38" s="16">
        <f t="shared" si="6"/>
        <v>0</v>
      </c>
    </row>
    <row r="39" spans="1:7" x14ac:dyDescent="0.3">
      <c r="A39" s="72" t="s">
        <v>17</v>
      </c>
      <c r="B39" s="25">
        <f t="shared" ref="B39:G39" si="7">SUM(B2:B38)</f>
        <v>100</v>
      </c>
      <c r="C39" s="25">
        <f t="shared" si="7"/>
        <v>35</v>
      </c>
      <c r="D39" s="25">
        <f t="shared" si="7"/>
        <v>20</v>
      </c>
      <c r="E39" s="25">
        <f t="shared" si="7"/>
        <v>19</v>
      </c>
      <c r="F39" s="25">
        <f t="shared" si="7"/>
        <v>15</v>
      </c>
      <c r="G39" s="26">
        <f t="shared" si="7"/>
        <v>1</v>
      </c>
    </row>
  </sheetData>
  <conditionalFormatting sqref="C2:C38">
    <cfRule type="cellIs" dxfId="3" priority="2" operator="greaterThan">
      <formula>0</formula>
    </cfRule>
  </conditionalFormatting>
  <conditionalFormatting sqref="F2:G38">
    <cfRule type="cellIs" dxfId="2" priority="1" operator="greaterThan">
      <formula>0</formula>
    </cfRule>
  </conditionalFormatting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F6EDFC0-0CC0-4B4B-A50C-F73C7CFF4933}">
  <sheetPr codeName="Sheet5"/>
  <dimension ref="A1:K75"/>
  <sheetViews>
    <sheetView topLeftCell="A55" workbookViewId="0">
      <selection activeCell="E69" sqref="E69"/>
    </sheetView>
  </sheetViews>
  <sheetFormatPr defaultRowHeight="14.4" x14ac:dyDescent="0.3"/>
  <cols>
    <col min="1" max="1" width="19.77734375" bestFit="1" customWidth="1"/>
    <col min="2" max="2" width="18.88671875" bestFit="1" customWidth="1"/>
    <col min="3" max="3" width="22.77734375" bestFit="1" customWidth="1"/>
    <col min="4" max="4" width="10" customWidth="1"/>
    <col min="16" max="16" width="10.88671875" customWidth="1"/>
  </cols>
  <sheetData>
    <row r="1" spans="1:11" s="15" customFormat="1" ht="28.8" x14ac:dyDescent="0.3">
      <c r="A1" s="32" t="s">
        <v>46</v>
      </c>
      <c r="C1" s="79" t="s">
        <v>47</v>
      </c>
      <c r="D1" s="80"/>
      <c r="E1" s="81"/>
      <c r="F1" s="39" t="s">
        <v>53</v>
      </c>
      <c r="G1" s="28" t="str">
        <f>_xlfn.CONCAT("Site ", Sites!B27)</f>
        <v>Site 11</v>
      </c>
      <c r="H1" s="28" t="str">
        <f>_xlfn.CONCAT("Site ", Sites!C27)</f>
        <v>Site 11</v>
      </c>
      <c r="I1" s="28" t="str">
        <f>_xlfn.CONCAT("Site ", Sites!D27)</f>
        <v>Site 11</v>
      </c>
      <c r="J1" s="28" t="str">
        <f>_xlfn.CONCAT("Site ", Sites!E27)</f>
        <v>Site 13</v>
      </c>
      <c r="K1" s="29" t="str">
        <f>_xlfn.CONCAT("Site ", Sites!F27)</f>
        <v>Site 11</v>
      </c>
    </row>
    <row r="2" spans="1:11" x14ac:dyDescent="0.3">
      <c r="A2" s="16">
        <v>0</v>
      </c>
      <c r="C2" s="30" t="s">
        <v>51</v>
      </c>
      <c r="D2" s="17" cm="1">
        <f t="array" ref="D2:D5">TRANSPOSE(Sites!L25:O25)</f>
        <v>35</v>
      </c>
      <c r="E2" s="31">
        <f>IF(NOT(D2=0), D2, " ")</f>
        <v>35</v>
      </c>
    </row>
    <row r="3" spans="1:11" x14ac:dyDescent="0.3">
      <c r="A3" s="16">
        <f>IF(Questions!A3=Questions!A2, Calculations!A2, 1 - Calculations!A2)</f>
        <v>0</v>
      </c>
      <c r="C3" s="1" t="s">
        <v>48</v>
      </c>
      <c r="D3">
        <v>22</v>
      </c>
      <c r="E3" s="16">
        <f t="shared" ref="E3:E8" si="0">IF(NOT(D3=0), D3, " ")</f>
        <v>22</v>
      </c>
    </row>
    <row r="4" spans="1:11" x14ac:dyDescent="0.3">
      <c r="A4" s="16">
        <f>IF(Questions!A4=Questions!A3, Calculations!A3, 1 - Calculations!A3)</f>
        <v>0</v>
      </c>
      <c r="C4" s="1" t="s">
        <v>49</v>
      </c>
      <c r="D4">
        <v>20</v>
      </c>
      <c r="E4" s="16">
        <f t="shared" si="0"/>
        <v>20</v>
      </c>
    </row>
    <row r="5" spans="1:11" x14ac:dyDescent="0.3">
      <c r="A5" s="16">
        <f>IF(Questions!A5=Questions!A4, Calculations!A4, 1 - Calculations!A4)</f>
        <v>1</v>
      </c>
      <c r="C5" s="1" t="s">
        <v>50</v>
      </c>
      <c r="D5">
        <v>19</v>
      </c>
      <c r="E5" s="16">
        <f t="shared" si="0"/>
        <v>19</v>
      </c>
    </row>
    <row r="6" spans="1:11" x14ac:dyDescent="0.3">
      <c r="A6" s="16">
        <f>IF(Questions!A6=Questions!A5, Calculations!A5, 1 - Calculations!A5)</f>
        <v>1</v>
      </c>
      <c r="C6" s="1" t="s">
        <v>52</v>
      </c>
      <c r="D6">
        <f>D2-D3</f>
        <v>13</v>
      </c>
      <c r="E6" s="16">
        <f t="shared" si="0"/>
        <v>13</v>
      </c>
    </row>
    <row r="7" spans="1:11" x14ac:dyDescent="0.3">
      <c r="A7" s="16">
        <f>IF(Questions!A7=Questions!A6, Calculations!A6, 1 - Calculations!A6)</f>
        <v>0</v>
      </c>
      <c r="C7" s="1" t="s">
        <v>91</v>
      </c>
      <c r="D7">
        <f>D3-D4</f>
        <v>2</v>
      </c>
      <c r="E7" s="16">
        <f t="shared" si="0"/>
        <v>2</v>
      </c>
    </row>
    <row r="8" spans="1:11" x14ac:dyDescent="0.3">
      <c r="A8" s="16">
        <f>IF(Questions!A8=Questions!A7, Calculations!A7, 1 - Calculations!A7)</f>
        <v>1</v>
      </c>
      <c r="C8" s="5" t="s">
        <v>90</v>
      </c>
      <c r="D8" s="6">
        <f>D4-D5</f>
        <v>1</v>
      </c>
      <c r="E8" s="27">
        <f t="shared" si="0"/>
        <v>1</v>
      </c>
    </row>
    <row r="9" spans="1:11" x14ac:dyDescent="0.3">
      <c r="A9" s="16">
        <f>IF(Questions!A9=Questions!A8, Calculations!A8, 1 - Calculations!A8)</f>
        <v>1</v>
      </c>
    </row>
    <row r="10" spans="1:11" x14ac:dyDescent="0.3">
      <c r="A10" s="16">
        <f>IF(Questions!A10=Questions!A9, Calculations!A9, 1 - Calculations!A9)</f>
        <v>0</v>
      </c>
    </row>
    <row r="11" spans="1:11" x14ac:dyDescent="0.3">
      <c r="A11" s="16">
        <f>IF(Questions!A11=Questions!A10, Calculations!A10, 1 - Calculations!A10)</f>
        <v>0</v>
      </c>
    </row>
    <row r="12" spans="1:11" x14ac:dyDescent="0.3">
      <c r="A12" s="16">
        <f>IF(Questions!A12=Questions!A11, Calculations!A11, 1 - Calculations!A11)</f>
        <v>0</v>
      </c>
    </row>
    <row r="13" spans="1:11" x14ac:dyDescent="0.3">
      <c r="A13" s="16">
        <f>IF(Questions!A13=Questions!A12, Calculations!A12, 1 - Calculations!A12)</f>
        <v>0</v>
      </c>
    </row>
    <row r="14" spans="1:11" x14ac:dyDescent="0.3">
      <c r="A14" s="16">
        <f>IF(Questions!A14=Questions!A13, Calculations!A13, 1 - Calculations!A13)</f>
        <v>1</v>
      </c>
    </row>
    <row r="15" spans="1:11" x14ac:dyDescent="0.3">
      <c r="A15" s="16">
        <f>IF(Questions!A15=Questions!A14, Calculations!A14, 1 - Calculations!A14)</f>
        <v>1</v>
      </c>
    </row>
    <row r="16" spans="1:11" x14ac:dyDescent="0.3">
      <c r="A16" s="16">
        <f>IF(Questions!A16=Questions!A15, Calculations!A15, 1 - Calculations!A15)</f>
        <v>1</v>
      </c>
    </row>
    <row r="17" spans="1:1" x14ac:dyDescent="0.3">
      <c r="A17" s="16">
        <f>IF(Questions!A17=Questions!A16, Calculations!A16, 1 - Calculations!A16)</f>
        <v>1</v>
      </c>
    </row>
    <row r="18" spans="1:1" x14ac:dyDescent="0.3">
      <c r="A18" s="16">
        <f>IF(Questions!A18=Questions!A17, Calculations!A17, 1 - Calculations!A17)</f>
        <v>1</v>
      </c>
    </row>
    <row r="19" spans="1:1" x14ac:dyDescent="0.3">
      <c r="A19" s="16">
        <f>IF(Questions!A19=Questions!A18, Calculations!A18, 1 - Calculations!A18)</f>
        <v>0</v>
      </c>
    </row>
    <row r="20" spans="1:1" x14ac:dyDescent="0.3">
      <c r="A20" s="16">
        <f>IF(Questions!A20=Questions!A19, Calculations!A19, 1 - Calculations!A19)</f>
        <v>1</v>
      </c>
    </row>
    <row r="21" spans="1:1" x14ac:dyDescent="0.3">
      <c r="A21" s="16">
        <f>IF(Questions!A21=Questions!A20, Calculations!A20, 1 - Calculations!A20)</f>
        <v>1</v>
      </c>
    </row>
    <row r="22" spans="1:1" x14ac:dyDescent="0.3">
      <c r="A22" s="16">
        <f>IF(Questions!A22=Questions!A21, Calculations!A21, 1 - Calculations!A21)</f>
        <v>1</v>
      </c>
    </row>
    <row r="23" spans="1:1" x14ac:dyDescent="0.3">
      <c r="A23" s="16">
        <f>IF(Questions!A23=Questions!A22, Calculations!A22, 1 - Calculations!A22)</f>
        <v>1</v>
      </c>
    </row>
    <row r="24" spans="1:1" x14ac:dyDescent="0.3">
      <c r="A24" s="16">
        <f>IF(Questions!A24=Questions!A23, Calculations!A23, 1 - Calculations!A23)</f>
        <v>1</v>
      </c>
    </row>
    <row r="25" spans="1:1" x14ac:dyDescent="0.3">
      <c r="A25" s="16">
        <f>IF(Questions!A25=Questions!A24, Calculations!A24, 1 - Calculations!A24)</f>
        <v>0</v>
      </c>
    </row>
    <row r="26" spans="1:1" x14ac:dyDescent="0.3">
      <c r="A26" s="16">
        <f>IF(Questions!A26=Questions!A25, Calculations!A25, 1 - Calculations!A25)</f>
        <v>0</v>
      </c>
    </row>
    <row r="27" spans="1:1" x14ac:dyDescent="0.3">
      <c r="A27" s="16">
        <f>IF(Questions!A27=Questions!A26, Calculations!A26, 1 - Calculations!A26)</f>
        <v>0</v>
      </c>
    </row>
    <row r="28" spans="1:1" x14ac:dyDescent="0.3">
      <c r="A28" s="16">
        <f>IF(Questions!A28=Questions!A27, Calculations!A27, 1 - Calculations!A27)</f>
        <v>1</v>
      </c>
    </row>
    <row r="29" spans="1:1" x14ac:dyDescent="0.3">
      <c r="A29" s="16">
        <f>IF(Questions!A29=Questions!A28, Calculations!A28, 1 - Calculations!A28)</f>
        <v>0</v>
      </c>
    </row>
    <row r="30" spans="1:1" x14ac:dyDescent="0.3">
      <c r="A30" s="16">
        <f>IF(Questions!A30=Questions!A29, Calculations!A29, 1 - Calculations!A29)</f>
        <v>0</v>
      </c>
    </row>
    <row r="31" spans="1:1" x14ac:dyDescent="0.3">
      <c r="A31" s="16">
        <f>IF(Questions!A31=Questions!A30, Calculations!A30, 1 - Calculations!A30)</f>
        <v>0</v>
      </c>
    </row>
    <row r="32" spans="1:1" x14ac:dyDescent="0.3">
      <c r="A32" s="16">
        <f>IF(Questions!A32=Questions!A31, Calculations!A31, 1 - Calculations!A31)</f>
        <v>0</v>
      </c>
    </row>
    <row r="33" spans="1:7" x14ac:dyDescent="0.3">
      <c r="A33" s="16">
        <f>IF(Questions!A33=Questions!A32, Calculations!A32, 1 - Calculations!A32)</f>
        <v>1</v>
      </c>
    </row>
    <row r="34" spans="1:7" x14ac:dyDescent="0.3">
      <c r="A34" s="16">
        <f>IF(Questions!A34=Questions!A33, Calculations!A33, 1 - Calculations!A33)</f>
        <v>1</v>
      </c>
    </row>
    <row r="35" spans="1:7" x14ac:dyDescent="0.3">
      <c r="A35" s="16">
        <f>IF(Questions!A35=Questions!A34, Calculations!A34, 1 - Calculations!A34)</f>
        <v>1</v>
      </c>
    </row>
    <row r="36" spans="1:7" x14ac:dyDescent="0.3">
      <c r="A36" s="16">
        <f>IF(Questions!A36=Questions!A35, Calculations!A35, 1 - Calculations!A35)</f>
        <v>0</v>
      </c>
    </row>
    <row r="37" spans="1:7" x14ac:dyDescent="0.3">
      <c r="A37" s="17"/>
    </row>
    <row r="38" spans="1:7" ht="43.2" x14ac:dyDescent="0.3">
      <c r="A38" s="22" t="s">
        <v>7</v>
      </c>
      <c r="B38" s="23" t="s">
        <v>16</v>
      </c>
      <c r="C38" s="23" t="s">
        <v>36</v>
      </c>
      <c r="D38" s="23" t="s">
        <v>37</v>
      </c>
      <c r="E38" s="23" t="s">
        <v>38</v>
      </c>
      <c r="F38" s="23" t="s">
        <v>40</v>
      </c>
      <c r="G38" s="24" t="s">
        <v>41</v>
      </c>
    </row>
    <row r="39" spans="1:7" x14ac:dyDescent="0.3">
      <c r="A39" s="1" cm="1">
        <f t="array" ref="A39:G51">_xlfn._xlws.FILTER('Question Values'!A2:G38, 'Question Values'!C2:C38&lt;&gt;0)</f>
        <v>1</v>
      </c>
      <c r="B39">
        <v>6</v>
      </c>
      <c r="C39">
        <v>1</v>
      </c>
      <c r="D39">
        <v>1</v>
      </c>
      <c r="E39">
        <v>1</v>
      </c>
      <c r="F39">
        <v>0</v>
      </c>
      <c r="G39" s="16">
        <v>0</v>
      </c>
    </row>
    <row r="40" spans="1:7" x14ac:dyDescent="0.3">
      <c r="A40" s="1">
        <v>2</v>
      </c>
      <c r="B40">
        <v>3</v>
      </c>
      <c r="C40">
        <v>2</v>
      </c>
      <c r="D40">
        <v>0</v>
      </c>
      <c r="E40">
        <v>0</v>
      </c>
      <c r="F40">
        <v>2</v>
      </c>
      <c r="G40" s="16">
        <v>0</v>
      </c>
    </row>
    <row r="41" spans="1:7" x14ac:dyDescent="0.3">
      <c r="A41" s="1">
        <v>3</v>
      </c>
      <c r="B41">
        <v>1</v>
      </c>
      <c r="C41">
        <v>1</v>
      </c>
      <c r="D41">
        <v>0</v>
      </c>
      <c r="E41">
        <v>0</v>
      </c>
      <c r="F41">
        <v>1</v>
      </c>
      <c r="G41" s="16">
        <v>0</v>
      </c>
    </row>
    <row r="42" spans="1:7" x14ac:dyDescent="0.3">
      <c r="A42" s="1">
        <v>4</v>
      </c>
      <c r="B42">
        <v>1</v>
      </c>
      <c r="C42">
        <v>2</v>
      </c>
      <c r="D42">
        <v>0</v>
      </c>
      <c r="E42">
        <v>0</v>
      </c>
      <c r="F42">
        <v>2</v>
      </c>
      <c r="G42" s="16">
        <v>0</v>
      </c>
    </row>
    <row r="43" spans="1:7" x14ac:dyDescent="0.3">
      <c r="A43" s="1">
        <v>5</v>
      </c>
      <c r="B43">
        <v>1</v>
      </c>
      <c r="C43">
        <v>1</v>
      </c>
      <c r="D43">
        <v>0</v>
      </c>
      <c r="E43">
        <v>0</v>
      </c>
      <c r="F43">
        <v>1</v>
      </c>
      <c r="G43" s="16">
        <v>0</v>
      </c>
    </row>
    <row r="44" spans="1:7" x14ac:dyDescent="0.3">
      <c r="A44" s="1">
        <v>7</v>
      </c>
      <c r="B44">
        <v>8</v>
      </c>
      <c r="C44">
        <v>4</v>
      </c>
      <c r="D44">
        <v>0</v>
      </c>
      <c r="E44">
        <v>0</v>
      </c>
      <c r="F44">
        <v>4</v>
      </c>
      <c r="G44" s="16">
        <v>0</v>
      </c>
    </row>
    <row r="45" spans="1:7" x14ac:dyDescent="0.3">
      <c r="A45" s="1">
        <v>8</v>
      </c>
      <c r="B45">
        <v>2</v>
      </c>
      <c r="C45">
        <v>3</v>
      </c>
      <c r="D45">
        <v>1</v>
      </c>
      <c r="E45">
        <v>1</v>
      </c>
      <c r="F45">
        <v>2</v>
      </c>
      <c r="G45" s="16">
        <v>0</v>
      </c>
    </row>
    <row r="46" spans="1:7" x14ac:dyDescent="0.3">
      <c r="A46" s="1">
        <v>10</v>
      </c>
      <c r="B46">
        <v>2</v>
      </c>
      <c r="C46">
        <v>4</v>
      </c>
      <c r="D46">
        <v>3</v>
      </c>
      <c r="E46">
        <v>3</v>
      </c>
      <c r="F46">
        <v>1</v>
      </c>
      <c r="G46" s="16">
        <v>0</v>
      </c>
    </row>
    <row r="47" spans="1:7" x14ac:dyDescent="0.3">
      <c r="A47" s="1">
        <v>13</v>
      </c>
      <c r="B47">
        <v>2</v>
      </c>
      <c r="C47">
        <v>1</v>
      </c>
      <c r="D47">
        <v>0</v>
      </c>
      <c r="E47">
        <v>0</v>
      </c>
      <c r="F47">
        <v>1</v>
      </c>
      <c r="G47" s="16">
        <v>0</v>
      </c>
    </row>
    <row r="48" spans="1:7" x14ac:dyDescent="0.3">
      <c r="A48" s="1">
        <v>14</v>
      </c>
      <c r="B48">
        <v>2</v>
      </c>
      <c r="C48">
        <v>1</v>
      </c>
      <c r="D48">
        <v>0</v>
      </c>
      <c r="E48">
        <v>0</v>
      </c>
      <c r="F48">
        <v>1</v>
      </c>
      <c r="G48" s="16">
        <v>0</v>
      </c>
    </row>
    <row r="49" spans="1:7" x14ac:dyDescent="0.3">
      <c r="A49" s="1">
        <v>22</v>
      </c>
      <c r="B49">
        <v>2</v>
      </c>
      <c r="C49">
        <v>2</v>
      </c>
      <c r="D49">
        <v>2</v>
      </c>
      <c r="E49">
        <v>1</v>
      </c>
      <c r="F49">
        <v>0</v>
      </c>
      <c r="G49" s="16">
        <v>1</v>
      </c>
    </row>
    <row r="50" spans="1:7" x14ac:dyDescent="0.3">
      <c r="A50" s="1">
        <v>23</v>
      </c>
      <c r="B50">
        <v>2</v>
      </c>
      <c r="C50">
        <v>12</v>
      </c>
      <c r="D50">
        <v>12</v>
      </c>
      <c r="E50">
        <v>12</v>
      </c>
      <c r="F50">
        <v>0</v>
      </c>
      <c r="G50" s="16">
        <v>0</v>
      </c>
    </row>
    <row r="51" spans="1:7" x14ac:dyDescent="0.3">
      <c r="A51" s="5">
        <v>24</v>
      </c>
      <c r="B51" s="6">
        <v>1</v>
      </c>
      <c r="C51" s="6">
        <v>1</v>
      </c>
      <c r="D51" s="6">
        <v>1</v>
      </c>
      <c r="E51" s="6">
        <v>1</v>
      </c>
      <c r="F51" s="6">
        <v>0</v>
      </c>
      <c r="G51" s="27">
        <v>0</v>
      </c>
    </row>
    <row r="53" spans="1:7" x14ac:dyDescent="0.3">
      <c r="A53" s="88" t="s">
        <v>31</v>
      </c>
      <c r="B53" s="89"/>
      <c r="C53" s="34">
        <f>COUNTIF(Sites!B3:B24, "&gt;=.85") / COUNT(Sites!B3:B24)</f>
        <v>0.75</v>
      </c>
    </row>
    <row r="54" spans="1:7" x14ac:dyDescent="0.3">
      <c r="A54" s="84" t="s">
        <v>32</v>
      </c>
      <c r="B54" s="85"/>
      <c r="C54" s="35">
        <f>COUNTIF(Sites!F3:F24, "&gt;=.85") / COUNT(Sites!F3:F24)</f>
        <v>0.85</v>
      </c>
    </row>
    <row r="55" spans="1:7" x14ac:dyDescent="0.3">
      <c r="A55" s="84" t="s">
        <v>33</v>
      </c>
      <c r="B55" s="85"/>
      <c r="C55" s="35">
        <f>COUNTIF(Sites!C3:C24, "&gt;=.85") / COUNT(Sites!C3:C24)</f>
        <v>0.85</v>
      </c>
    </row>
    <row r="56" spans="1:7" x14ac:dyDescent="0.3">
      <c r="A56" s="84" t="s">
        <v>34</v>
      </c>
      <c r="B56" s="85"/>
      <c r="C56" s="35">
        <f>COUNTIF(Sites!D3:D24, "&gt;=.85") / COUNT(Sites!D3:D24)</f>
        <v>0.85</v>
      </c>
    </row>
    <row r="57" spans="1:7" ht="25.8" customHeight="1" x14ac:dyDescent="0.3">
      <c r="A57" s="86" t="s">
        <v>44</v>
      </c>
      <c r="B57" s="87"/>
      <c r="C57" s="36">
        <f>COUNTIF(Sites!E3:E24, "&gt;=.85")/COUNT(Sites!E3:E24)</f>
        <v>1</v>
      </c>
    </row>
    <row r="58" spans="1:7" ht="25.8" customHeight="1" x14ac:dyDescent="0.3">
      <c r="C58" s="2"/>
    </row>
    <row r="60" spans="1:7" x14ac:dyDescent="0.3">
      <c r="A60" s="79" t="s">
        <v>62</v>
      </c>
      <c r="B60" s="81"/>
    </row>
    <row r="61" spans="1:7" ht="25.8" x14ac:dyDescent="0.5">
      <c r="A61" s="45" t="s">
        <v>59</v>
      </c>
      <c r="B61" s="41">
        <f>Sites!F25</f>
        <v>0.91512452685570644</v>
      </c>
    </row>
    <row r="62" spans="1:7" ht="25.8" x14ac:dyDescent="0.5">
      <c r="A62" s="45" t="s">
        <v>60</v>
      </c>
      <c r="B62" s="42">
        <f>Sites!O25</f>
        <v>19</v>
      </c>
    </row>
    <row r="63" spans="1:7" ht="25.8" x14ac:dyDescent="0.5">
      <c r="A63" s="82" t="s">
        <v>61</v>
      </c>
      <c r="B63" s="43">
        <f>COUNTIF(Sites!F3:F24,"&gt;=.85") - COUNTIF(Sites!B3:B24, "&gt;=.85")</f>
        <v>2</v>
      </c>
    </row>
    <row r="64" spans="1:7" ht="63" x14ac:dyDescent="0.4">
      <c r="A64" s="82"/>
      <c r="B64" s="44" t="str">
        <f>_xlfn.CONCAT(CHAR(10), IF(B63 = 1, "site pushed to passing", "sites pushed to passing"))</f>
        <v xml:space="preserve">
sites pushed to passing</v>
      </c>
    </row>
    <row r="67" spans="1:2" x14ac:dyDescent="0.3">
      <c r="A67" s="83" t="s">
        <v>63</v>
      </c>
      <c r="B67" s="83"/>
    </row>
    <row r="68" spans="1:2" ht="25.8" x14ac:dyDescent="0.5">
      <c r="A68" s="45" t="s">
        <v>66</v>
      </c>
      <c r="B68" s="46">
        <f>'Question Values'!C24/'Question Values'!C39</f>
        <v>0.34285714285714286</v>
      </c>
    </row>
    <row r="69" spans="1:2" ht="25.8" x14ac:dyDescent="0.5">
      <c r="A69" s="45" t="s">
        <v>64</v>
      </c>
      <c r="B69" s="46">
        <f>'Question Values'!C24/COUNT(Sites!F3:F24)</f>
        <v>0.6</v>
      </c>
    </row>
    <row r="71" spans="1:2" x14ac:dyDescent="0.3">
      <c r="A71" s="49" t="s">
        <v>65</v>
      </c>
    </row>
    <row r="72" spans="1:2" x14ac:dyDescent="0.3">
      <c r="A72" s="47" t="s">
        <v>67</v>
      </c>
    </row>
    <row r="73" spans="1:2" x14ac:dyDescent="0.3">
      <c r="A73" s="47" t="s">
        <v>68</v>
      </c>
    </row>
    <row r="74" spans="1:2" x14ac:dyDescent="0.3">
      <c r="A74" s="47" t="s">
        <v>70</v>
      </c>
    </row>
    <row r="75" spans="1:2" x14ac:dyDescent="0.3">
      <c r="A75" s="48" t="s">
        <v>69</v>
      </c>
    </row>
  </sheetData>
  <mergeCells count="9">
    <mergeCell ref="C1:E1"/>
    <mergeCell ref="A63:A64"/>
    <mergeCell ref="A60:B60"/>
    <mergeCell ref="A67:B67"/>
    <mergeCell ref="A56:B56"/>
    <mergeCell ref="A57:B57"/>
    <mergeCell ref="A53:B53"/>
    <mergeCell ref="A54:B54"/>
    <mergeCell ref="A55:B55"/>
  </mergeCells>
  <conditionalFormatting sqref="A2:A37">
    <cfRule type="expression" dxfId="1" priority="1">
      <formula>NOT($H2 = $H3)</formula>
    </cfRule>
    <cfRule type="expression" dxfId="0" priority="2">
      <formula>$H2=1</formula>
    </cfRule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3064A34-4E8A-43F5-A3C4-CAE8F6B8808A}">
  <sheetPr codeName="Sheet7"/>
  <dimension ref="A1:O21"/>
  <sheetViews>
    <sheetView workbookViewId="0">
      <selection activeCell="G24" sqref="G24"/>
    </sheetView>
  </sheetViews>
  <sheetFormatPr defaultRowHeight="14.4" x14ac:dyDescent="0.3"/>
  <cols>
    <col min="1" max="1" width="7.109375" bestFit="1" customWidth="1"/>
    <col min="2" max="2" width="7.21875" bestFit="1" customWidth="1"/>
    <col min="3" max="3" width="7.5546875" bestFit="1" customWidth="1"/>
    <col min="4" max="4" width="8.5546875" bestFit="1" customWidth="1"/>
    <col min="5" max="5" width="7.21875" bestFit="1" customWidth="1"/>
    <col min="6" max="6" width="7" bestFit="1" customWidth="1"/>
    <col min="7" max="7" width="8.44140625" bestFit="1" customWidth="1"/>
    <col min="8" max="8" width="6" bestFit="1" customWidth="1"/>
    <col min="9" max="9" width="7.5546875" bestFit="1" customWidth="1"/>
    <col min="10" max="10" width="8.5546875" bestFit="1" customWidth="1"/>
    <col min="11" max="11" width="6" bestFit="1" customWidth="1"/>
    <col min="13" max="13" width="7.5546875" bestFit="1" customWidth="1"/>
    <col min="14" max="14" width="9.21875" bestFit="1" customWidth="1"/>
    <col min="15" max="15" width="8.5546875" bestFit="1" customWidth="1"/>
  </cols>
  <sheetData>
    <row r="1" spans="1:15" s="38" customFormat="1" ht="43.2" x14ac:dyDescent="0.3">
      <c r="A1" s="50" t="str" cm="1">
        <f t="array" ref="A1:O21">_xlfn._xlws.FILTER(Sites!A2:O24, NOT(Sites!G2:G24=""))</f>
        <v>GDSO #</v>
      </c>
      <c r="B1" s="51" t="str">
        <v>Original Score</v>
      </c>
      <c r="C1" s="51" t="str">
        <v>Highest Possible Score</v>
      </c>
      <c r="D1" s="51" t="str">
        <v>Score if Cures Accepted</v>
      </c>
      <c r="E1" s="51" t="str">
        <v>Highest Curable Score</v>
      </c>
      <c r="F1" s="51" t="str">
        <v>Final Score</v>
      </c>
      <c r="G1" s="51" t="str">
        <v>Original Points</v>
      </c>
      <c r="H1" s="51" t="str">
        <v>Full Points</v>
      </c>
      <c r="I1" s="51" t="str">
        <v>Total Points Possible</v>
      </c>
      <c r="J1" s="51" t="str">
        <v>Points if Cures Accepted</v>
      </c>
      <c r="K1" s="51" t="str">
        <v>Final Points</v>
      </c>
      <c r="L1" s="51" t="str">
        <v>Total # of Cures</v>
      </c>
      <c r="M1" s="51" t="str">
        <v># of Cures Possible</v>
      </c>
      <c r="N1" s="51" t="str">
        <v># of Cures Submitted</v>
      </c>
      <c r="O1" s="52" t="str">
        <v># of Cures Accepted</v>
      </c>
    </row>
    <row r="2" spans="1:15" x14ac:dyDescent="0.3">
      <c r="A2" s="30">
        <v>1</v>
      </c>
      <c r="B2" s="53">
        <v>1</v>
      </c>
      <c r="C2" s="53">
        <v>1</v>
      </c>
      <c r="D2" s="53">
        <v>1</v>
      </c>
      <c r="E2" s="53">
        <v>1</v>
      </c>
      <c r="F2" s="53">
        <v>1</v>
      </c>
      <c r="G2" s="17">
        <v>100</v>
      </c>
      <c r="H2" s="17">
        <v>100</v>
      </c>
      <c r="I2" s="17">
        <v>100</v>
      </c>
      <c r="J2" s="17">
        <v>100</v>
      </c>
      <c r="K2" s="17">
        <v>100</v>
      </c>
      <c r="L2" s="17">
        <v>0</v>
      </c>
      <c r="M2" s="17">
        <v>0</v>
      </c>
      <c r="N2" s="17">
        <v>0</v>
      </c>
      <c r="O2" s="31">
        <v>0</v>
      </c>
    </row>
    <row r="3" spans="1:15" x14ac:dyDescent="0.3">
      <c r="A3" s="1">
        <v>2</v>
      </c>
      <c r="B3" s="2">
        <v>1</v>
      </c>
      <c r="C3" s="2">
        <v>1</v>
      </c>
      <c r="D3" s="2">
        <v>1</v>
      </c>
      <c r="E3" s="2">
        <v>1</v>
      </c>
      <c r="F3" s="2">
        <v>1</v>
      </c>
      <c r="G3">
        <v>100</v>
      </c>
      <c r="H3">
        <v>100</v>
      </c>
      <c r="I3">
        <v>100</v>
      </c>
      <c r="J3">
        <v>100</v>
      </c>
      <c r="K3">
        <v>100</v>
      </c>
      <c r="L3">
        <v>0</v>
      </c>
      <c r="M3">
        <v>0</v>
      </c>
      <c r="N3">
        <v>0</v>
      </c>
      <c r="O3" s="16">
        <v>0</v>
      </c>
    </row>
    <row r="4" spans="1:15" x14ac:dyDescent="0.3">
      <c r="A4" s="1">
        <v>4</v>
      </c>
      <c r="B4" s="2">
        <v>0.82</v>
      </c>
      <c r="C4" s="2">
        <v>0.86</v>
      </c>
      <c r="D4" s="2">
        <v>0.86</v>
      </c>
      <c r="E4" s="2">
        <v>0.94</v>
      </c>
      <c r="F4" s="2">
        <v>0.86</v>
      </c>
      <c r="G4">
        <v>82</v>
      </c>
      <c r="H4">
        <v>100</v>
      </c>
      <c r="I4">
        <v>86</v>
      </c>
      <c r="J4">
        <v>86</v>
      </c>
      <c r="K4">
        <v>86</v>
      </c>
      <c r="L4">
        <v>3</v>
      </c>
      <c r="M4">
        <v>2</v>
      </c>
      <c r="N4">
        <v>2</v>
      </c>
      <c r="O4" s="16">
        <v>2</v>
      </c>
    </row>
    <row r="5" spans="1:15" x14ac:dyDescent="0.3">
      <c r="A5" s="1">
        <v>5</v>
      </c>
      <c r="B5" s="2">
        <v>0.8666666666666667</v>
      </c>
      <c r="C5" s="2">
        <v>0.88888888888888884</v>
      </c>
      <c r="D5" s="2">
        <v>0.88888888888888884</v>
      </c>
      <c r="E5" s="2">
        <v>0.91111111111111109</v>
      </c>
      <c r="F5" s="2">
        <v>0.88888888888888884</v>
      </c>
      <c r="G5">
        <v>78</v>
      </c>
      <c r="H5">
        <v>90</v>
      </c>
      <c r="I5">
        <v>80</v>
      </c>
      <c r="J5">
        <v>80</v>
      </c>
      <c r="K5">
        <v>80</v>
      </c>
      <c r="L5">
        <v>2</v>
      </c>
      <c r="M5">
        <v>1</v>
      </c>
      <c r="N5">
        <v>1</v>
      </c>
      <c r="O5" s="16">
        <v>1</v>
      </c>
    </row>
    <row r="6" spans="1:15" x14ac:dyDescent="0.3">
      <c r="A6" s="1">
        <v>6</v>
      </c>
      <c r="B6" s="2">
        <v>0.96511627906976749</v>
      </c>
      <c r="C6" s="2">
        <v>0.96511627906976749</v>
      </c>
      <c r="D6" s="2">
        <v>0.96511627906976749</v>
      </c>
      <c r="E6" s="2">
        <v>0.96511627906976749</v>
      </c>
      <c r="F6" s="2">
        <v>0.96511627906976749</v>
      </c>
      <c r="G6">
        <v>83</v>
      </c>
      <c r="H6">
        <v>86</v>
      </c>
      <c r="I6">
        <v>83</v>
      </c>
      <c r="J6">
        <v>83</v>
      </c>
      <c r="K6">
        <v>83</v>
      </c>
      <c r="L6">
        <v>0</v>
      </c>
      <c r="M6">
        <v>0</v>
      </c>
      <c r="N6">
        <v>0</v>
      </c>
      <c r="O6" s="16">
        <v>0</v>
      </c>
    </row>
    <row r="7" spans="1:15" x14ac:dyDescent="0.3">
      <c r="A7" s="1">
        <v>7</v>
      </c>
      <c r="B7" s="2">
        <v>0.85555555555555551</v>
      </c>
      <c r="C7" s="2">
        <v>0.87777777777777777</v>
      </c>
      <c r="D7" s="2">
        <v>0.87777777777777777</v>
      </c>
      <c r="E7" s="2">
        <v>0.87777777777777777</v>
      </c>
      <c r="F7" s="2">
        <v>0.87777777777777777</v>
      </c>
      <c r="G7">
        <v>77</v>
      </c>
      <c r="H7">
        <v>90</v>
      </c>
      <c r="I7">
        <v>79</v>
      </c>
      <c r="J7">
        <v>79</v>
      </c>
      <c r="K7">
        <v>79</v>
      </c>
      <c r="L7">
        <v>1</v>
      </c>
      <c r="M7">
        <v>1</v>
      </c>
      <c r="N7">
        <v>1</v>
      </c>
      <c r="O7" s="16">
        <v>1</v>
      </c>
    </row>
    <row r="8" spans="1:15" x14ac:dyDescent="0.3">
      <c r="A8" s="1">
        <v>8</v>
      </c>
      <c r="B8" s="2">
        <v>0.9</v>
      </c>
      <c r="C8" s="2">
        <v>0.94</v>
      </c>
      <c r="D8" s="2">
        <v>0.94</v>
      </c>
      <c r="E8" s="2">
        <v>0.94</v>
      </c>
      <c r="F8" s="2">
        <v>0.94</v>
      </c>
      <c r="G8">
        <v>90</v>
      </c>
      <c r="H8">
        <v>100</v>
      </c>
      <c r="I8">
        <v>94</v>
      </c>
      <c r="J8">
        <v>94</v>
      </c>
      <c r="K8">
        <v>94</v>
      </c>
      <c r="L8">
        <v>2</v>
      </c>
      <c r="M8">
        <v>2</v>
      </c>
      <c r="N8">
        <v>2</v>
      </c>
      <c r="O8" s="16">
        <v>2</v>
      </c>
    </row>
    <row r="9" spans="1:15" x14ac:dyDescent="0.3">
      <c r="A9" s="1">
        <v>9</v>
      </c>
      <c r="B9" s="2">
        <v>0.82</v>
      </c>
      <c r="C9" s="2">
        <v>0.88</v>
      </c>
      <c r="D9" s="2">
        <v>0.88</v>
      </c>
      <c r="E9" s="2">
        <v>0.89</v>
      </c>
      <c r="F9" s="2">
        <v>0.88</v>
      </c>
      <c r="G9">
        <v>82</v>
      </c>
      <c r="H9">
        <v>100</v>
      </c>
      <c r="I9">
        <v>88</v>
      </c>
      <c r="J9">
        <v>88</v>
      </c>
      <c r="K9">
        <v>88</v>
      </c>
      <c r="L9">
        <v>4</v>
      </c>
      <c r="M9">
        <v>3</v>
      </c>
      <c r="N9">
        <v>3</v>
      </c>
      <c r="O9" s="16">
        <v>3</v>
      </c>
    </row>
    <row r="10" spans="1:15" x14ac:dyDescent="0.3">
      <c r="A10" s="1">
        <v>10</v>
      </c>
      <c r="B10" s="2">
        <v>1</v>
      </c>
      <c r="C10" s="2">
        <v>1</v>
      </c>
      <c r="D10" s="2">
        <v>1</v>
      </c>
      <c r="E10" s="2">
        <v>1</v>
      </c>
      <c r="F10" s="2">
        <v>1</v>
      </c>
      <c r="G10">
        <v>100</v>
      </c>
      <c r="H10">
        <v>100</v>
      </c>
      <c r="I10">
        <v>100</v>
      </c>
      <c r="J10">
        <v>100</v>
      </c>
      <c r="K10">
        <v>100</v>
      </c>
      <c r="L10">
        <v>0</v>
      </c>
      <c r="M10">
        <v>0</v>
      </c>
      <c r="N10">
        <v>0</v>
      </c>
      <c r="O10" s="16">
        <v>0</v>
      </c>
    </row>
    <row r="11" spans="1:15" x14ac:dyDescent="0.3">
      <c r="A11" s="1">
        <v>11</v>
      </c>
      <c r="B11" s="2">
        <v>0.65555555555555556</v>
      </c>
      <c r="C11" s="2">
        <v>0.76666666666666672</v>
      </c>
      <c r="D11" s="2">
        <v>0.76666666666666672</v>
      </c>
      <c r="E11" s="2">
        <v>0.87777777777777777</v>
      </c>
      <c r="F11" s="2">
        <v>0.76666666666666672</v>
      </c>
      <c r="G11">
        <v>59</v>
      </c>
      <c r="H11">
        <v>90</v>
      </c>
      <c r="I11">
        <v>69</v>
      </c>
      <c r="J11">
        <v>69</v>
      </c>
      <c r="K11">
        <v>69</v>
      </c>
      <c r="L11">
        <v>5</v>
      </c>
      <c r="M11">
        <v>3</v>
      </c>
      <c r="N11">
        <v>3</v>
      </c>
      <c r="O11" s="16">
        <v>3</v>
      </c>
    </row>
    <row r="12" spans="1:15" x14ac:dyDescent="0.3">
      <c r="A12" s="1">
        <v>12</v>
      </c>
      <c r="B12" s="2">
        <v>0.92045454545454541</v>
      </c>
      <c r="C12" s="2">
        <v>0.94318181818181823</v>
      </c>
      <c r="D12" s="2">
        <v>0.94318181818181823</v>
      </c>
      <c r="E12" s="2">
        <v>0.94318181818181823</v>
      </c>
      <c r="F12" s="2">
        <v>0.94318181818181823</v>
      </c>
      <c r="G12">
        <v>81</v>
      </c>
      <c r="H12">
        <v>88</v>
      </c>
      <c r="I12">
        <v>83</v>
      </c>
      <c r="J12">
        <v>83</v>
      </c>
      <c r="K12">
        <v>83</v>
      </c>
      <c r="L12">
        <v>1</v>
      </c>
      <c r="M12">
        <v>1</v>
      </c>
      <c r="N12">
        <v>1</v>
      </c>
      <c r="O12" s="16">
        <v>1</v>
      </c>
    </row>
    <row r="13" spans="1:15" x14ac:dyDescent="0.3">
      <c r="A13" s="1">
        <v>13</v>
      </c>
      <c r="B13" s="2">
        <v>0.78</v>
      </c>
      <c r="C13" s="2">
        <v>0.82</v>
      </c>
      <c r="D13" s="2">
        <v>0.79</v>
      </c>
      <c r="E13" s="2">
        <v>0.85</v>
      </c>
      <c r="F13" s="2">
        <v>0.79</v>
      </c>
      <c r="G13">
        <v>78</v>
      </c>
      <c r="H13">
        <v>100</v>
      </c>
      <c r="I13">
        <v>82</v>
      </c>
      <c r="J13">
        <v>79</v>
      </c>
      <c r="K13">
        <v>79</v>
      </c>
      <c r="L13">
        <v>5</v>
      </c>
      <c r="M13">
        <v>2</v>
      </c>
      <c r="N13">
        <v>1</v>
      </c>
      <c r="O13" s="16">
        <v>1</v>
      </c>
    </row>
    <row r="14" spans="1:15" x14ac:dyDescent="0.3">
      <c r="A14" s="1">
        <v>14</v>
      </c>
      <c r="B14" s="2">
        <v>0.89690721649484539</v>
      </c>
      <c r="C14" s="2">
        <v>0.93814432989690721</v>
      </c>
      <c r="D14" s="2">
        <v>0.91752577319587625</v>
      </c>
      <c r="E14" s="2">
        <v>0.95876288659793818</v>
      </c>
      <c r="F14" s="2">
        <v>0.91752577319587625</v>
      </c>
      <c r="G14">
        <v>87</v>
      </c>
      <c r="H14">
        <v>97</v>
      </c>
      <c r="I14">
        <v>91</v>
      </c>
      <c r="J14">
        <v>89</v>
      </c>
      <c r="K14">
        <v>89</v>
      </c>
      <c r="L14">
        <v>3</v>
      </c>
      <c r="M14">
        <v>2</v>
      </c>
      <c r="N14">
        <v>1</v>
      </c>
      <c r="O14" s="16">
        <v>1</v>
      </c>
    </row>
    <row r="15" spans="1:15" x14ac:dyDescent="0.3">
      <c r="A15" s="1">
        <v>15</v>
      </c>
      <c r="B15" s="2">
        <v>0.97777777777777775</v>
      </c>
      <c r="C15" s="2">
        <v>1</v>
      </c>
      <c r="D15" s="2">
        <v>1</v>
      </c>
      <c r="E15" s="2">
        <v>1</v>
      </c>
      <c r="F15" s="2">
        <v>1</v>
      </c>
      <c r="G15">
        <v>88</v>
      </c>
      <c r="H15">
        <v>90</v>
      </c>
      <c r="I15">
        <v>90</v>
      </c>
      <c r="J15">
        <v>90</v>
      </c>
      <c r="K15">
        <v>90</v>
      </c>
      <c r="L15">
        <v>1</v>
      </c>
      <c r="M15">
        <v>1</v>
      </c>
      <c r="N15">
        <v>1</v>
      </c>
      <c r="O15" s="16">
        <v>1</v>
      </c>
    </row>
    <row r="16" spans="1:15" x14ac:dyDescent="0.3">
      <c r="A16" s="1">
        <v>17</v>
      </c>
      <c r="B16" s="2">
        <v>0.77</v>
      </c>
      <c r="C16" s="2">
        <v>0.81</v>
      </c>
      <c r="D16" s="2">
        <v>0.81</v>
      </c>
      <c r="E16" s="2">
        <v>0.92</v>
      </c>
      <c r="F16" s="2">
        <v>0.79</v>
      </c>
      <c r="G16">
        <v>77</v>
      </c>
      <c r="H16">
        <v>100</v>
      </c>
      <c r="I16">
        <v>81</v>
      </c>
      <c r="J16">
        <v>81</v>
      </c>
      <c r="K16">
        <v>79</v>
      </c>
      <c r="L16">
        <v>4</v>
      </c>
      <c r="M16">
        <v>2</v>
      </c>
      <c r="N16">
        <v>2</v>
      </c>
      <c r="O16" s="16">
        <v>1</v>
      </c>
    </row>
    <row r="17" spans="1:15" x14ac:dyDescent="0.3">
      <c r="A17" s="1">
        <v>18</v>
      </c>
      <c r="B17" s="2">
        <v>0.94444444444444442</v>
      </c>
      <c r="C17" s="2">
        <v>0.94444444444444442</v>
      </c>
      <c r="D17" s="2">
        <v>0.94444444444444442</v>
      </c>
      <c r="E17" s="2">
        <v>0.94444444444444442</v>
      </c>
      <c r="F17" s="2">
        <v>0.94444444444444442</v>
      </c>
      <c r="G17">
        <v>85</v>
      </c>
      <c r="H17">
        <v>90</v>
      </c>
      <c r="I17">
        <v>85</v>
      </c>
      <c r="J17">
        <v>85</v>
      </c>
      <c r="K17">
        <v>85</v>
      </c>
      <c r="L17">
        <v>0</v>
      </c>
      <c r="M17">
        <v>0</v>
      </c>
      <c r="N17">
        <v>0</v>
      </c>
      <c r="O17" s="16">
        <v>0</v>
      </c>
    </row>
    <row r="18" spans="1:15" x14ac:dyDescent="0.3">
      <c r="A18" s="1">
        <v>19</v>
      </c>
      <c r="B18" s="2">
        <v>0.8666666666666667</v>
      </c>
      <c r="C18" s="2">
        <v>0.88888888888888884</v>
      </c>
      <c r="D18" s="2">
        <v>0.88888888888888884</v>
      </c>
      <c r="E18" s="2">
        <v>1</v>
      </c>
      <c r="F18" s="2">
        <v>0.88888888888888884</v>
      </c>
      <c r="G18">
        <v>78</v>
      </c>
      <c r="H18">
        <v>90</v>
      </c>
      <c r="I18">
        <v>80</v>
      </c>
      <c r="J18">
        <v>80</v>
      </c>
      <c r="K18">
        <v>80</v>
      </c>
      <c r="L18">
        <v>3</v>
      </c>
      <c r="M18">
        <v>1</v>
      </c>
      <c r="N18">
        <v>1</v>
      </c>
      <c r="O18" s="16">
        <v>1</v>
      </c>
    </row>
    <row r="19" spans="1:15" x14ac:dyDescent="0.3">
      <c r="A19" s="1">
        <v>20</v>
      </c>
      <c r="B19">
        <v>0.9</v>
      </c>
      <c r="C19">
        <v>0.9</v>
      </c>
      <c r="D19">
        <v>0.9</v>
      </c>
      <c r="E19">
        <v>0.9</v>
      </c>
      <c r="F19">
        <v>0.9</v>
      </c>
      <c r="G19">
        <v>90</v>
      </c>
      <c r="H19">
        <v>100</v>
      </c>
      <c r="I19">
        <v>90</v>
      </c>
      <c r="J19">
        <v>90</v>
      </c>
      <c r="K19">
        <v>90</v>
      </c>
      <c r="L19">
        <v>0</v>
      </c>
      <c r="M19">
        <v>0</v>
      </c>
      <c r="N19">
        <v>0</v>
      </c>
      <c r="O19" s="16">
        <v>0</v>
      </c>
    </row>
    <row r="20" spans="1:15" x14ac:dyDescent="0.3">
      <c r="A20" s="1">
        <v>21</v>
      </c>
      <c r="B20">
        <v>0.93</v>
      </c>
      <c r="C20">
        <v>0.95</v>
      </c>
      <c r="D20">
        <v>0.95</v>
      </c>
      <c r="E20">
        <v>0.95</v>
      </c>
      <c r="F20">
        <v>0.95</v>
      </c>
      <c r="G20">
        <v>93</v>
      </c>
      <c r="H20">
        <v>100</v>
      </c>
      <c r="I20">
        <v>95</v>
      </c>
      <c r="J20">
        <v>95</v>
      </c>
      <c r="K20">
        <v>95</v>
      </c>
      <c r="L20">
        <v>1</v>
      </c>
      <c r="M20">
        <v>1</v>
      </c>
      <c r="N20">
        <v>1</v>
      </c>
      <c r="O20" s="16">
        <v>1</v>
      </c>
    </row>
    <row r="21" spans="1:15" x14ac:dyDescent="0.3">
      <c r="A21" s="5">
        <v>22</v>
      </c>
      <c r="B21" s="6">
        <v>1</v>
      </c>
      <c r="C21" s="6">
        <v>1</v>
      </c>
      <c r="D21" s="6">
        <v>1</v>
      </c>
      <c r="E21" s="6">
        <v>1</v>
      </c>
      <c r="F21" s="6">
        <v>1</v>
      </c>
      <c r="G21" s="6">
        <v>100</v>
      </c>
      <c r="H21" s="6">
        <v>100</v>
      </c>
      <c r="I21" s="6">
        <v>100</v>
      </c>
      <c r="J21" s="6">
        <v>100</v>
      </c>
      <c r="K21" s="6">
        <v>100</v>
      </c>
      <c r="L21" s="6">
        <v>0</v>
      </c>
      <c r="M21" s="6">
        <v>0</v>
      </c>
      <c r="N21" s="6">
        <v>0</v>
      </c>
      <c r="O21" s="27"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Dashboard</vt:lpstr>
      <vt:lpstr>Sites</vt:lpstr>
      <vt:lpstr>Questions</vt:lpstr>
      <vt:lpstr>Question Values</vt:lpstr>
      <vt:lpstr>Calculations</vt:lpstr>
      <vt:lpstr>Calculations 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Isaac Ruano</dc:creator>
  <cp:lastModifiedBy>Isaac Ruano</cp:lastModifiedBy>
  <cp:lastPrinted>2024-09-26T15:01:48Z</cp:lastPrinted>
  <dcterms:created xsi:type="dcterms:W3CDTF">2015-06-05T18:17:20Z</dcterms:created>
  <dcterms:modified xsi:type="dcterms:W3CDTF">2024-10-26T15:53:01Z</dcterms:modified>
</cp:coreProperties>
</file>